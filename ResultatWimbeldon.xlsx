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err\Code\TFG\Program\"/>
    </mc:Choice>
  </mc:AlternateContent>
  <xr:revisionPtr revIDLastSave="0" documentId="13_ncr:1_{E0FF5199-3656-4F0A-AA04-74E5F4133A67}" xr6:coauthVersionLast="47" xr6:coauthVersionMax="47" xr10:uidLastSave="{00000000-0000-0000-0000-000000000000}"/>
  <bookViews>
    <workbookView xWindow="-110" yWindow="-110" windowWidth="25420" windowHeight="16300" firstSheet="1" activeTab="8" xr2:uid="{0ED45994-5EFE-4A4E-8BA9-C3AA32741888}"/>
  </bookViews>
  <sheets>
    <sheet name="Ronda 1" sheetId="1" r:id="rId1"/>
    <sheet name="Ronda 2" sheetId="2" r:id="rId2"/>
    <sheet name="Ronda 3" sheetId="3" r:id="rId3"/>
    <sheet name="Ronda 4" sheetId="4" r:id="rId4"/>
    <sheet name="Quarts" sheetId="5" r:id="rId5"/>
    <sheet name="Semi" sheetId="6" r:id="rId6"/>
    <sheet name="Final" sheetId="7" r:id="rId7"/>
    <sheet name="Resultats" sheetId="8" r:id="rId8"/>
    <sheet name="Grafics" sheetId="17" r:id="rId9"/>
  </sheets>
  <definedNames>
    <definedName name="_xlnm._FilterDatabase" localSheetId="0" hidden="1">'Ronda 1'!$A$1:$G$65</definedName>
    <definedName name="_xlnm._FilterDatabase" localSheetId="1" hidden="1">'Ronda 2'!$A$1:$G$33</definedName>
    <definedName name="_xlnm._FilterDatabase" localSheetId="2" hidden="1">'Ronda 3'!$A$1:$G$17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4" l="1"/>
  <c r="X10" i="5"/>
  <c r="V12" i="6"/>
  <c r="W9" i="7"/>
  <c r="Y11" i="3"/>
  <c r="V10" i="1"/>
  <c r="V9" i="2"/>
  <c r="Q3" i="2"/>
  <c r="R3" i="2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" i="3"/>
  <c r="R3" i="3" s="1"/>
  <c r="Q4" i="3"/>
  <c r="R4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 s="1"/>
  <c r="Q12" i="3"/>
  <c r="R12" i="3"/>
  <c r="Q13" i="3"/>
  <c r="R13" i="3"/>
  <c r="Q14" i="3"/>
  <c r="R14" i="3"/>
  <c r="Q15" i="3"/>
  <c r="R15" i="3"/>
  <c r="Q16" i="3"/>
  <c r="R16" i="3"/>
  <c r="Q17" i="3"/>
  <c r="R17" i="3"/>
  <c r="Q3" i="4"/>
  <c r="R3" i="4"/>
  <c r="Q4" i="4"/>
  <c r="R4" i="4"/>
  <c r="Q5" i="4"/>
  <c r="R5" i="4"/>
  <c r="Q6" i="4"/>
  <c r="R6" i="4"/>
  <c r="Q7" i="4"/>
  <c r="R7" i="4"/>
  <c r="Q8" i="4"/>
  <c r="R8" i="4"/>
  <c r="Q9" i="4"/>
  <c r="R9" i="4"/>
  <c r="Q3" i="5"/>
  <c r="R3" i="5" s="1"/>
  <c r="Q4" i="5"/>
  <c r="R4" i="5" s="1"/>
  <c r="Q5" i="5"/>
  <c r="R5" i="5"/>
  <c r="Q3" i="6"/>
  <c r="R3" i="6"/>
  <c r="Q2" i="7"/>
  <c r="R2" i="7" s="1"/>
  <c r="Q2" i="6"/>
  <c r="R2" i="6" s="1"/>
  <c r="Q2" i="5"/>
  <c r="R2" i="5" s="1"/>
  <c r="Q2" i="4"/>
  <c r="R2" i="4" s="1"/>
  <c r="Q2" i="3"/>
  <c r="R2" i="3" s="1"/>
  <c r="Q2" i="2"/>
  <c r="R2" i="2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2" i="1"/>
  <c r="E2" i="17"/>
  <c r="E3" i="17"/>
  <c r="E4" i="17"/>
  <c r="E5" i="17"/>
  <c r="E6" i="17"/>
  <c r="E7" i="17"/>
  <c r="E8" i="17"/>
  <c r="D8" i="17"/>
  <c r="D7" i="17"/>
  <c r="D6" i="17"/>
  <c r="D5" i="17"/>
  <c r="D4" i="17"/>
  <c r="D3" i="17"/>
  <c r="D2" i="17"/>
  <c r="U13" i="1"/>
  <c r="P2" i="7"/>
  <c r="O2" i="7"/>
  <c r="N2" i="7"/>
  <c r="M2" i="7"/>
  <c r="L2" i="7"/>
  <c r="I2" i="7"/>
  <c r="K2" i="7"/>
  <c r="J2" i="7"/>
  <c r="L3" i="6"/>
  <c r="M3" i="6"/>
  <c r="N3" i="6"/>
  <c r="O3" i="6"/>
  <c r="P3" i="6"/>
  <c r="P2" i="6"/>
  <c r="O2" i="6"/>
  <c r="N2" i="6"/>
  <c r="M2" i="6"/>
  <c r="L2" i="6"/>
  <c r="I3" i="6"/>
  <c r="I2" i="6"/>
  <c r="K3" i="6"/>
  <c r="K2" i="6"/>
  <c r="J2" i="6"/>
  <c r="L3" i="5"/>
  <c r="M3" i="5"/>
  <c r="N3" i="5"/>
  <c r="O3" i="5"/>
  <c r="P3" i="5"/>
  <c r="L4" i="5"/>
  <c r="M4" i="5"/>
  <c r="N4" i="5"/>
  <c r="O4" i="5"/>
  <c r="P4" i="5"/>
  <c r="L5" i="5"/>
  <c r="M5" i="5"/>
  <c r="N5" i="5"/>
  <c r="O5" i="5"/>
  <c r="P5" i="5"/>
  <c r="P2" i="5"/>
  <c r="O2" i="5"/>
  <c r="N2" i="5"/>
  <c r="M2" i="5"/>
  <c r="L2" i="5"/>
  <c r="I3" i="5"/>
  <c r="I4" i="5"/>
  <c r="I5" i="5"/>
  <c r="I2" i="5"/>
  <c r="J4" i="5"/>
  <c r="K4" i="5" s="1"/>
  <c r="K3" i="5"/>
  <c r="K5" i="5"/>
  <c r="K2" i="5"/>
  <c r="N3" i="4"/>
  <c r="O3" i="4"/>
  <c r="P3" i="4"/>
  <c r="N4" i="4"/>
  <c r="O4" i="4"/>
  <c r="P4" i="4"/>
  <c r="N5" i="4"/>
  <c r="O5" i="4"/>
  <c r="P5" i="4"/>
  <c r="N6" i="4"/>
  <c r="O6" i="4"/>
  <c r="P6" i="4"/>
  <c r="N7" i="4"/>
  <c r="O7" i="4"/>
  <c r="P7" i="4"/>
  <c r="N8" i="4"/>
  <c r="O8" i="4"/>
  <c r="P8" i="4"/>
  <c r="N9" i="4"/>
  <c r="O9" i="4"/>
  <c r="P9" i="4"/>
  <c r="P2" i="4"/>
  <c r="O2" i="4"/>
  <c r="N2" i="4"/>
  <c r="M3" i="4"/>
  <c r="M4" i="4"/>
  <c r="M5" i="4"/>
  <c r="M6" i="4"/>
  <c r="M7" i="4"/>
  <c r="M8" i="4"/>
  <c r="M9" i="4"/>
  <c r="M2" i="4"/>
  <c r="L3" i="4"/>
  <c r="L4" i="4"/>
  <c r="L5" i="4"/>
  <c r="L6" i="4"/>
  <c r="L7" i="4"/>
  <c r="L8" i="4"/>
  <c r="L9" i="4"/>
  <c r="L2" i="4"/>
  <c r="I3" i="4"/>
  <c r="I4" i="4"/>
  <c r="I5" i="4"/>
  <c r="I6" i="4"/>
  <c r="I7" i="4"/>
  <c r="I8" i="4"/>
  <c r="I9" i="4"/>
  <c r="I2" i="4"/>
  <c r="J2" i="4"/>
  <c r="J9" i="4"/>
  <c r="K3" i="4"/>
  <c r="K4" i="4"/>
  <c r="K5" i="4"/>
  <c r="K6" i="4"/>
  <c r="K7" i="4"/>
  <c r="K8" i="4"/>
  <c r="K9" i="4"/>
  <c r="K2" i="4"/>
  <c r="N3" i="3"/>
  <c r="O3" i="3"/>
  <c r="P3" i="3"/>
  <c r="N4" i="3"/>
  <c r="O4" i="3"/>
  <c r="P4" i="3"/>
  <c r="N5" i="3"/>
  <c r="O5" i="3"/>
  <c r="P5" i="3"/>
  <c r="N6" i="3"/>
  <c r="O6" i="3"/>
  <c r="P6" i="3"/>
  <c r="N7" i="3"/>
  <c r="O7" i="3"/>
  <c r="P7" i="3"/>
  <c r="N8" i="3"/>
  <c r="O8" i="3"/>
  <c r="P8" i="3"/>
  <c r="N9" i="3"/>
  <c r="O9" i="3"/>
  <c r="P9" i="3"/>
  <c r="N10" i="3"/>
  <c r="O10" i="3"/>
  <c r="P10" i="3"/>
  <c r="N11" i="3"/>
  <c r="O11" i="3"/>
  <c r="P11" i="3"/>
  <c r="N12" i="3"/>
  <c r="O12" i="3"/>
  <c r="P12" i="3"/>
  <c r="N13" i="3"/>
  <c r="O13" i="3"/>
  <c r="P13" i="3"/>
  <c r="N14" i="3"/>
  <c r="O14" i="3"/>
  <c r="P14" i="3"/>
  <c r="N15" i="3"/>
  <c r="O15" i="3"/>
  <c r="P15" i="3"/>
  <c r="N16" i="3"/>
  <c r="O16" i="3"/>
  <c r="P16" i="3"/>
  <c r="N17" i="3"/>
  <c r="O17" i="3"/>
  <c r="P17" i="3"/>
  <c r="P2" i="3"/>
  <c r="O2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2" i="3"/>
  <c r="J9" i="3"/>
  <c r="J2" i="3"/>
  <c r="J4" i="3"/>
  <c r="J16" i="3"/>
  <c r="J17" i="3"/>
  <c r="J10" i="3"/>
  <c r="J14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2" i="3"/>
  <c r="J13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2" i="2"/>
  <c r="J28" i="2"/>
  <c r="J30" i="2"/>
  <c r="J9" i="2"/>
  <c r="J33" i="2"/>
  <c r="J8" i="2"/>
  <c r="J17" i="2"/>
  <c r="J5" i="2"/>
  <c r="J27" i="2"/>
  <c r="J31" i="2"/>
  <c r="J23" i="2"/>
  <c r="K23" i="2" s="1"/>
  <c r="J11" i="2"/>
  <c r="J10" i="2"/>
  <c r="J1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2" i="2"/>
  <c r="J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32" i="2"/>
  <c r="K33" i="2"/>
  <c r="K2" i="2"/>
  <c r="J3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2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O2" i="1"/>
  <c r="N2" i="1"/>
  <c r="J65" i="1"/>
  <c r="M5" i="1"/>
  <c r="M6" i="1"/>
  <c r="M7" i="1"/>
  <c r="M8" i="1"/>
  <c r="M9" i="1"/>
  <c r="M13" i="1"/>
  <c r="M21" i="1"/>
  <c r="M22" i="1"/>
  <c r="M23" i="1"/>
  <c r="M24" i="1"/>
  <c r="M25" i="1"/>
  <c r="M27" i="1"/>
  <c r="M28" i="1"/>
  <c r="M31" i="1"/>
  <c r="M34" i="1"/>
  <c r="M35" i="1"/>
  <c r="M39" i="1"/>
  <c r="M40" i="1"/>
  <c r="M41" i="1"/>
  <c r="M43" i="1"/>
  <c r="M44" i="1"/>
  <c r="M47" i="1"/>
  <c r="M48" i="1"/>
  <c r="M49" i="1"/>
  <c r="M51" i="1"/>
  <c r="M53" i="1"/>
  <c r="M54" i="1"/>
  <c r="M55" i="1"/>
  <c r="M56" i="1"/>
  <c r="M57" i="1"/>
  <c r="M59" i="1"/>
  <c r="M60" i="1"/>
  <c r="M61" i="1"/>
  <c r="M62" i="1"/>
  <c r="M2" i="1"/>
  <c r="K2" i="1"/>
  <c r="L11" i="1"/>
  <c r="L12" i="1"/>
  <c r="L13" i="1"/>
  <c r="L14" i="1"/>
  <c r="L43" i="1"/>
  <c r="L59" i="1"/>
  <c r="L60" i="1"/>
  <c r="L61" i="1"/>
  <c r="L62" i="1"/>
  <c r="L63" i="1"/>
  <c r="L64" i="1"/>
  <c r="J14" i="1"/>
  <c r="K14" i="1" s="1"/>
  <c r="J32" i="1"/>
  <c r="M32" i="1" s="1"/>
  <c r="J30" i="1"/>
  <c r="J12" i="1"/>
  <c r="K12" i="1" s="1"/>
  <c r="M12" i="1" s="1"/>
  <c r="J11" i="1"/>
  <c r="K11" i="1" s="1"/>
  <c r="J21" i="1"/>
  <c r="K21" i="1" s="1"/>
  <c r="J33" i="1"/>
  <c r="J13" i="1"/>
  <c r="J10" i="1"/>
  <c r="K10" i="1" s="1"/>
  <c r="J19" i="1"/>
  <c r="J17" i="1"/>
  <c r="J20" i="1"/>
  <c r="J26" i="1"/>
  <c r="K26" i="1" s="1"/>
  <c r="J8" i="1"/>
  <c r="K8" i="1" s="1"/>
  <c r="J18" i="1"/>
  <c r="M18" i="1" s="1"/>
  <c r="J4" i="1"/>
  <c r="M4" i="1" s="1"/>
  <c r="J15" i="1"/>
  <c r="K15" i="1" s="1"/>
  <c r="M15" i="1" s="1"/>
  <c r="J2" i="1"/>
  <c r="J58" i="1"/>
  <c r="K58" i="1" s="1"/>
  <c r="J64" i="1"/>
  <c r="M64" i="1" s="1"/>
  <c r="J35" i="1"/>
  <c r="J52" i="1"/>
  <c r="J45" i="1"/>
  <c r="J56" i="1"/>
  <c r="J51" i="1"/>
  <c r="J54" i="1"/>
  <c r="K54" i="1" s="1"/>
  <c r="J63" i="1"/>
  <c r="K63" i="1" s="1"/>
  <c r="J42" i="1"/>
  <c r="K42" i="1" s="1"/>
  <c r="M42" i="1" s="1"/>
  <c r="J37" i="1"/>
  <c r="K37" i="1" s="1"/>
  <c r="M37" i="1" s="1"/>
  <c r="J50" i="1"/>
  <c r="K50" i="1" s="1"/>
  <c r="M50" i="1" s="1"/>
  <c r="J38" i="1"/>
  <c r="K38" i="1" s="1"/>
  <c r="M38" i="1" s="1"/>
  <c r="K3" i="1"/>
  <c r="M3" i="1" s="1"/>
  <c r="K4" i="1"/>
  <c r="K5" i="1"/>
  <c r="K6" i="1"/>
  <c r="K7" i="1"/>
  <c r="K9" i="1"/>
  <c r="K13" i="1"/>
  <c r="K16" i="1"/>
  <c r="M16" i="1" s="1"/>
  <c r="K17" i="1"/>
  <c r="M17" i="1" s="1"/>
  <c r="K18" i="1"/>
  <c r="K19" i="1"/>
  <c r="M19" i="1" s="1"/>
  <c r="K20" i="1"/>
  <c r="M20" i="1" s="1"/>
  <c r="K22" i="1"/>
  <c r="K23" i="1"/>
  <c r="K24" i="1"/>
  <c r="K25" i="1"/>
  <c r="K27" i="1"/>
  <c r="K28" i="1"/>
  <c r="K29" i="1"/>
  <c r="M29" i="1" s="1"/>
  <c r="K30" i="1"/>
  <c r="M30" i="1" s="1"/>
  <c r="K31" i="1"/>
  <c r="K32" i="1"/>
  <c r="K33" i="1"/>
  <c r="M33" i="1" s="1"/>
  <c r="K34" i="1"/>
  <c r="K35" i="1"/>
  <c r="K36" i="1"/>
  <c r="M36" i="1" s="1"/>
  <c r="K39" i="1"/>
  <c r="K40" i="1"/>
  <c r="K41" i="1"/>
  <c r="K43" i="1"/>
  <c r="K44" i="1"/>
  <c r="K45" i="1"/>
  <c r="M45" i="1" s="1"/>
  <c r="K46" i="1"/>
  <c r="M46" i="1" s="1"/>
  <c r="K47" i="1"/>
  <c r="K48" i="1"/>
  <c r="K49" i="1"/>
  <c r="K51" i="1"/>
  <c r="K52" i="1"/>
  <c r="M52" i="1" s="1"/>
  <c r="K53" i="1"/>
  <c r="K55" i="1"/>
  <c r="K56" i="1"/>
  <c r="K57" i="1"/>
  <c r="K59" i="1"/>
  <c r="K60" i="1"/>
  <c r="K61" i="1"/>
  <c r="K62" i="1"/>
  <c r="K64" i="1"/>
  <c r="K65" i="1"/>
  <c r="M65" i="1" s="1"/>
  <c r="I7" i="1"/>
  <c r="I4" i="1"/>
  <c r="I5" i="1"/>
  <c r="I6" i="1"/>
  <c r="I8" i="1"/>
  <c r="I9" i="1"/>
  <c r="I10" i="1"/>
  <c r="I11" i="1"/>
  <c r="I12" i="1"/>
  <c r="I13" i="1"/>
  <c r="I14" i="1"/>
  <c r="I15" i="1"/>
  <c r="I16" i="1"/>
  <c r="L16" i="1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3" i="1"/>
  <c r="I2" i="1"/>
  <c r="X8" i="5"/>
  <c r="W6" i="4"/>
  <c r="W7" i="4"/>
  <c r="Y9" i="3"/>
  <c r="V6" i="2"/>
  <c r="V8" i="1"/>
  <c r="J10" i="8"/>
  <c r="J9" i="8"/>
  <c r="J11" i="8"/>
  <c r="Y8" i="3"/>
  <c r="V5" i="2"/>
  <c r="V7" i="1"/>
  <c r="W7" i="7"/>
  <c r="V10" i="6"/>
  <c r="X7" i="5"/>
  <c r="W6" i="7"/>
  <c r="V9" i="6"/>
  <c r="X6" i="5"/>
  <c r="W5" i="4"/>
  <c r="Y7" i="3"/>
  <c r="V4" i="2"/>
  <c r="V6" i="1"/>
  <c r="W5" i="7"/>
  <c r="F2" i="7"/>
  <c r="G2" i="7" s="1"/>
  <c r="V8" i="6"/>
  <c r="G3" i="6"/>
  <c r="G2" i="6"/>
  <c r="F3" i="6"/>
  <c r="F2" i="6"/>
  <c r="X5" i="5"/>
  <c r="G3" i="5"/>
  <c r="G4" i="5"/>
  <c r="G5" i="5"/>
  <c r="G2" i="5"/>
  <c r="F3" i="5"/>
  <c r="F4" i="5"/>
  <c r="F5" i="5"/>
  <c r="F2" i="5"/>
  <c r="W4" i="4"/>
  <c r="G3" i="4"/>
  <c r="G5" i="4"/>
  <c r="G6" i="4"/>
  <c r="G7" i="4"/>
  <c r="G9" i="4"/>
  <c r="G2" i="4"/>
  <c r="F3" i="4"/>
  <c r="F4" i="4"/>
  <c r="G4" i="4" s="1"/>
  <c r="F5" i="4"/>
  <c r="F6" i="4"/>
  <c r="F7" i="4"/>
  <c r="F8" i="4"/>
  <c r="G8" i="4" s="1"/>
  <c r="F9" i="4"/>
  <c r="F2" i="4"/>
  <c r="Y6" i="3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2" i="3"/>
  <c r="G2" i="3" s="1"/>
  <c r="V3" i="2"/>
  <c r="F22" i="2"/>
  <c r="G22" i="2" s="1"/>
  <c r="F6" i="2"/>
  <c r="G6" i="2" s="1"/>
  <c r="F26" i="2"/>
  <c r="G26" i="2" s="1"/>
  <c r="F28" i="2"/>
  <c r="G28" i="2" s="1"/>
  <c r="F12" i="2"/>
  <c r="G12" i="2" s="1"/>
  <c r="F24" i="2"/>
  <c r="G24" i="2" s="1"/>
  <c r="F30" i="2"/>
  <c r="G30" i="2" s="1"/>
  <c r="F7" i="2"/>
  <c r="G7" i="2" s="1"/>
  <c r="F21" i="2"/>
  <c r="G21" i="2" s="1"/>
  <c r="F4" i="2"/>
  <c r="G4" i="2" s="1"/>
  <c r="F14" i="2"/>
  <c r="G14" i="2" s="1"/>
  <c r="F5" i="2"/>
  <c r="G5" i="2" s="1"/>
  <c r="F15" i="2"/>
  <c r="G15" i="2" s="1"/>
  <c r="F17" i="2"/>
  <c r="G17" i="2" s="1"/>
  <c r="F8" i="2"/>
  <c r="G8" i="2" s="1"/>
  <c r="F11" i="2"/>
  <c r="G11" i="2" s="1"/>
  <c r="F33" i="2"/>
  <c r="G33" i="2" s="1"/>
  <c r="F9" i="2"/>
  <c r="G9" i="2" s="1"/>
  <c r="F32" i="2"/>
  <c r="G32" i="2" s="1"/>
  <c r="F3" i="2"/>
  <c r="G3" i="2" s="1"/>
  <c r="F23" i="2"/>
  <c r="G23" i="2" s="1"/>
  <c r="F19" i="2"/>
  <c r="G19" i="2" s="1"/>
  <c r="F13" i="2"/>
  <c r="G13" i="2" s="1"/>
  <c r="F16" i="2"/>
  <c r="G16" i="2" s="1"/>
  <c r="F10" i="2"/>
  <c r="G10" i="2" s="1"/>
  <c r="F18" i="2"/>
  <c r="G18" i="2" s="1"/>
  <c r="F25" i="2"/>
  <c r="G25" i="2" s="1"/>
  <c r="F27" i="2"/>
  <c r="G27" i="2" s="1"/>
  <c r="F20" i="2"/>
  <c r="G20" i="2" s="1"/>
  <c r="F2" i="2"/>
  <c r="G2" i="2" s="1"/>
  <c r="F31" i="2"/>
  <c r="G31" i="2" s="1"/>
  <c r="F29" i="2"/>
  <c r="G29" i="2" s="1"/>
  <c r="V5" i="1"/>
  <c r="F3" i="1"/>
  <c r="G3" i="1" s="1"/>
  <c r="F4" i="1"/>
  <c r="G4" i="1" s="1"/>
  <c r="F5" i="1"/>
  <c r="G5" i="1" s="1"/>
  <c r="F6" i="1"/>
  <c r="G6" i="1" s="1"/>
  <c r="F7" i="1"/>
  <c r="G7" i="1" s="1"/>
  <c r="L7" i="1" s="1"/>
  <c r="F8" i="1"/>
  <c r="G8" i="1" s="1"/>
  <c r="L8" i="1" s="1"/>
  <c r="F9" i="1"/>
  <c r="G9" i="1" s="1"/>
  <c r="L9" i="1" s="1"/>
  <c r="F10" i="1"/>
  <c r="G10" i="1" s="1"/>
  <c r="L10" i="1" s="1"/>
  <c r="F11" i="1"/>
  <c r="G11" i="1" s="1"/>
  <c r="F12" i="1"/>
  <c r="G12" i="1" s="1"/>
  <c r="F13" i="1"/>
  <c r="G13" i="1" s="1"/>
  <c r="F14" i="1"/>
  <c r="G14" i="1" s="1"/>
  <c r="F15" i="1"/>
  <c r="G15" i="1" s="1"/>
  <c r="L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L24" i="1" s="1"/>
  <c r="F25" i="1"/>
  <c r="G25" i="1" s="1"/>
  <c r="L25" i="1" s="1"/>
  <c r="F26" i="1"/>
  <c r="G26" i="1" s="1"/>
  <c r="L26" i="1" s="1"/>
  <c r="F27" i="1"/>
  <c r="G27" i="1" s="1"/>
  <c r="F28" i="1"/>
  <c r="G28" i="1" s="1"/>
  <c r="F29" i="1"/>
  <c r="G29" i="1" s="1"/>
  <c r="L29" i="1" s="1"/>
  <c r="F30" i="1"/>
  <c r="G30" i="1" s="1"/>
  <c r="L30" i="1" s="1"/>
  <c r="F31" i="1"/>
  <c r="G31" i="1" s="1"/>
  <c r="L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L40" i="1" s="1"/>
  <c r="F41" i="1"/>
  <c r="G41" i="1" s="1"/>
  <c r="L41" i="1" s="1"/>
  <c r="F42" i="1"/>
  <c r="G42" i="1" s="1"/>
  <c r="L42" i="1" s="1"/>
  <c r="F43" i="1"/>
  <c r="G43" i="1" s="1"/>
  <c r="F44" i="1"/>
  <c r="G44" i="1" s="1"/>
  <c r="L44" i="1" s="1"/>
  <c r="F45" i="1"/>
  <c r="G45" i="1" s="1"/>
  <c r="L45" i="1" s="1"/>
  <c r="F46" i="1"/>
  <c r="G46" i="1" s="1"/>
  <c r="L46" i="1" s="1"/>
  <c r="F47" i="1"/>
  <c r="G47" i="1" s="1"/>
  <c r="L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L56" i="1" s="1"/>
  <c r="F57" i="1"/>
  <c r="G57" i="1" s="1"/>
  <c r="L57" i="1" s="1"/>
  <c r="F58" i="1"/>
  <c r="G58" i="1" s="1"/>
  <c r="L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L65" i="1" s="1"/>
  <c r="F2" i="1"/>
  <c r="G2" i="1" s="1"/>
  <c r="M14" i="1" l="1"/>
  <c r="L39" i="1"/>
  <c r="L23" i="1"/>
  <c r="L38" i="1"/>
  <c r="L6" i="1"/>
  <c r="L53" i="1"/>
  <c r="L37" i="1"/>
  <c r="L5" i="1"/>
  <c r="L52" i="1"/>
  <c r="L36" i="1"/>
  <c r="L20" i="1"/>
  <c r="L51" i="1"/>
  <c r="L19" i="1"/>
  <c r="L28" i="1"/>
  <c r="M11" i="1"/>
  <c r="L54" i="1"/>
  <c r="L22" i="1"/>
  <c r="L21" i="1"/>
  <c r="L4" i="1"/>
  <c r="L35" i="1"/>
  <c r="L3" i="1"/>
  <c r="L27" i="1"/>
  <c r="M58" i="1"/>
  <c r="M26" i="1"/>
  <c r="M10" i="1"/>
  <c r="L55" i="1"/>
  <c r="L49" i="1"/>
  <c r="L33" i="1"/>
  <c r="L17" i="1"/>
  <c r="L2" i="1"/>
  <c r="L50" i="1"/>
  <c r="L34" i="1"/>
  <c r="L18" i="1"/>
  <c r="L48" i="1"/>
  <c r="L32" i="1"/>
  <c r="M63" i="1"/>
</calcChain>
</file>

<file path=xl/sharedStrings.xml><?xml version="1.0" encoding="utf-8"?>
<sst xmlns="http://schemas.openxmlformats.org/spreadsheetml/2006/main" count="700" uniqueCount="261">
  <si>
    <t>Jugador 1</t>
  </si>
  <si>
    <t>Jugador 2</t>
  </si>
  <si>
    <t>Ganador</t>
  </si>
  <si>
    <t>SINNER, Jannik</t>
  </si>
  <si>
    <t>NARDI, Luca</t>
  </si>
  <si>
    <t>SINNER</t>
  </si>
  <si>
    <t>TSENG, Chun-Hsin</t>
  </si>
  <si>
    <t>VUKIC, Aleksandar</t>
  </si>
  <si>
    <t>VUKIC</t>
  </si>
  <si>
    <t>MARTÍNEZ, Pedro</t>
  </si>
  <si>
    <t>LOFFHAGEN, George</t>
  </si>
  <si>
    <t>MARTÍNEZ</t>
  </si>
  <si>
    <t>NAVONE, Mariano</t>
  </si>
  <si>
    <t>SHAPOVALOV, Denis</t>
  </si>
  <si>
    <t>NAVONE</t>
  </si>
  <si>
    <t>DIMITROV, Grigor</t>
  </si>
  <si>
    <t>NISHIOKA, Yoshihito</t>
  </si>
  <si>
    <t>DIMITROV</t>
  </si>
  <si>
    <t>COMESANA, Francisco</t>
  </si>
  <si>
    <t>MOUTET, Corentin</t>
  </si>
  <si>
    <t>MOUTET</t>
  </si>
  <si>
    <t>OFNER, Sebastian</t>
  </si>
  <si>
    <t>MEDJEDOVIC, Hamad</t>
  </si>
  <si>
    <t>OFNER</t>
  </si>
  <si>
    <t>MONDAY, Johannus</t>
  </si>
  <si>
    <t>PAUL, Tommy</t>
  </si>
  <si>
    <t>PAUL</t>
  </si>
  <si>
    <t>SHELTON, Ben</t>
  </si>
  <si>
    <t>BOLT, Alex</t>
  </si>
  <si>
    <t>SHELTON</t>
  </si>
  <si>
    <t>HIJIKATA, Rinky</t>
  </si>
  <si>
    <t>GOFFIN, David</t>
  </si>
  <si>
    <t>HIJIKATA</t>
  </si>
  <si>
    <t>KOVACEVIC, Aleksandar</t>
  </si>
  <si>
    <t>FUCSOVICS, Marton</t>
  </si>
  <si>
    <t>FUCSOVICS</t>
  </si>
  <si>
    <t>MONFILS, Gael</t>
  </si>
  <si>
    <t>HUMBERT, Ugo</t>
  </si>
  <si>
    <t>MONFILS</t>
  </si>
  <si>
    <t>NAKASHIMA, Brandon</t>
  </si>
  <si>
    <t>BU, Yunchaokete</t>
  </si>
  <si>
    <t>NAKASHIMA</t>
  </si>
  <si>
    <t>SHEVCHENKO, Alexander</t>
  </si>
  <si>
    <t>OPELKA, Reilly</t>
  </si>
  <si>
    <t>OPELKA</t>
  </si>
  <si>
    <t>FARIA, Jaime</t>
  </si>
  <si>
    <t>SONEGO, Lorenzo</t>
  </si>
  <si>
    <t>SONEGO</t>
  </si>
  <si>
    <t>BASILASHVILI, Nikoloz</t>
  </si>
  <si>
    <t>MUSETTI, Lorenzo</t>
  </si>
  <si>
    <t>MUSETTI</t>
  </si>
  <si>
    <t>DRAPER, Jack</t>
  </si>
  <si>
    <t>BAEZ, Sebastian</t>
  </si>
  <si>
    <t>DRAPER</t>
  </si>
  <si>
    <t>COLLIGNON, Raphael</t>
  </si>
  <si>
    <t>CILIC, Marin</t>
  </si>
  <si>
    <t>CILIC</t>
  </si>
  <si>
    <t>MCCABE, James</t>
  </si>
  <si>
    <t>MAROZSAN, Fabian</t>
  </si>
  <si>
    <t>MAROZSAN</t>
  </si>
  <si>
    <t>MUNAR, Jaume</t>
  </si>
  <si>
    <t>BUBLIK, Alexander</t>
  </si>
  <si>
    <t>MUNAR</t>
  </si>
  <si>
    <t>COBOLLI, Flavio</t>
  </si>
  <si>
    <t>ZHUKAYEV, Beibit</t>
  </si>
  <si>
    <t>COBOLLI</t>
  </si>
  <si>
    <t>ETCHEVERRY, Tomas Martin</t>
  </si>
  <si>
    <t>PINNINGTON JONES, Jack</t>
  </si>
  <si>
    <t>PINNINGTON JONES</t>
  </si>
  <si>
    <t>GIRON, Marcos</t>
  </si>
  <si>
    <t>UGO CARABELLI, Camilo</t>
  </si>
  <si>
    <t>GIRON</t>
  </si>
  <si>
    <t>GASTON, Hugo</t>
  </si>
  <si>
    <t>MENSIK, Jakub</t>
  </si>
  <si>
    <t>MENSIK</t>
  </si>
  <si>
    <t>DE MINAUR, Alex</t>
  </si>
  <si>
    <t>CARBALLES BAENA, Roberto</t>
  </si>
  <si>
    <t>DE MINAUR</t>
  </si>
  <si>
    <t>CAZAUX, Arthur</t>
  </si>
  <si>
    <t>WALTON, Adam</t>
  </si>
  <si>
    <t>CAZAUX</t>
  </si>
  <si>
    <t>HALYS, Quentin</t>
  </si>
  <si>
    <t>HOLMGREN, August</t>
  </si>
  <si>
    <t>HOLMGREN</t>
  </si>
  <si>
    <t>DZUMHUR, Damir</t>
  </si>
  <si>
    <t>MACHAC, Tomas</t>
  </si>
  <si>
    <t>MACHAC</t>
  </si>
  <si>
    <t>MICHELSEN, Alex</t>
  </si>
  <si>
    <t>KECMANOVIC, Miomir</t>
  </si>
  <si>
    <t>KECMANOVIC</t>
  </si>
  <si>
    <t>DE JONG, Jesper</t>
  </si>
  <si>
    <t>EUBANKS, Christopher</t>
  </si>
  <si>
    <t>DE JONG</t>
  </si>
  <si>
    <t>EVANS, Daniel</t>
  </si>
  <si>
    <t>CLARKE, Jay</t>
  </si>
  <si>
    <t>EVANS</t>
  </si>
  <si>
    <t>MULLER, Alexandre</t>
  </si>
  <si>
    <t>DJOKOVIC, Novak</t>
  </si>
  <si>
    <t>DJOKOVIC</t>
  </si>
  <si>
    <t>FRITZ, Taylor</t>
  </si>
  <si>
    <t>MPETSHI PERRICARD, Giovanni</t>
  </si>
  <si>
    <t>FRITZ</t>
  </si>
  <si>
    <t>DIALLO, Gabriel</t>
  </si>
  <si>
    <t>ALTMAIER, Daniel</t>
  </si>
  <si>
    <t>DIALLO</t>
  </si>
  <si>
    <t>ARNALDI, Matteo</t>
  </si>
  <si>
    <t>VAN DE ZANDSCHULP, Botic</t>
  </si>
  <si>
    <t>VAN DE ZANDSCHULP</t>
  </si>
  <si>
    <t>HOLT, Brandon</t>
  </si>
  <si>
    <t>DAVIDOVICH FOKINA, Alejandro</t>
  </si>
  <si>
    <t>DAVIDOVICH FOKINA</t>
  </si>
  <si>
    <t>POPYRIN, Alexei</t>
  </si>
  <si>
    <t>FERY, Arthur</t>
  </si>
  <si>
    <t>FERY</t>
  </si>
  <si>
    <t>DARDERI, Luciano</t>
  </si>
  <si>
    <t>SAFIULLIN, Roman</t>
  </si>
  <si>
    <t>DARDERI</t>
  </si>
  <si>
    <t>KOPRIVA, Vit</t>
  </si>
  <si>
    <t>THOMPSON, Jordan</t>
  </si>
  <si>
    <t>THOMPSON</t>
  </si>
  <si>
    <t>BONZI, Benjamin</t>
  </si>
  <si>
    <t>MEDVEDEV, Daniil</t>
  </si>
  <si>
    <t>BONZI</t>
  </si>
  <si>
    <t>CERUNDOLO, Francisco</t>
  </si>
  <si>
    <t>BORGES, Nuno</t>
  </si>
  <si>
    <t>BORGES</t>
  </si>
  <si>
    <t>HARRIS, Billy</t>
  </si>
  <si>
    <t>LAJOVIC, Dusan</t>
  </si>
  <si>
    <t>HARRIS</t>
  </si>
  <si>
    <t>MOCHIZUKI, Shintaro</t>
  </si>
  <si>
    <t>ZEPPIERI, Giulio</t>
  </si>
  <si>
    <t>MOCHIZUKI</t>
  </si>
  <si>
    <t>MCDONALD, Mackenzie</t>
  </si>
  <si>
    <t>KHACHANOV, Karen</t>
  </si>
  <si>
    <t>KHACHANOV</t>
  </si>
  <si>
    <t>BERRETTINI, Matteo</t>
  </si>
  <si>
    <t>MAJCHRZAK, Kamil</t>
  </si>
  <si>
    <t>MAJCHRZAK</t>
  </si>
  <si>
    <t>QUINN, Ethan</t>
  </si>
  <si>
    <t>SEARLE, Henry</t>
  </si>
  <si>
    <t>QUINN</t>
  </si>
  <si>
    <t>GARIN, Cristian</t>
  </si>
  <si>
    <t>RODESCH, Chris</t>
  </si>
  <si>
    <t>GARIN</t>
  </si>
  <si>
    <t>RINDERKNECH, Arthur</t>
  </si>
  <si>
    <t>ZVEREV, Alexander</t>
  </si>
  <si>
    <t>RINDERKNECH</t>
  </si>
  <si>
    <t>RUNE, Holger</t>
  </si>
  <si>
    <t>JARRY, Nicolas</t>
  </si>
  <si>
    <t>JARRY</t>
  </si>
  <si>
    <t>TIEN, Learner</t>
  </si>
  <si>
    <t>BASAVAREDDY, Nishesh</t>
  </si>
  <si>
    <t>TIEN</t>
  </si>
  <si>
    <t>FEARNLEY, Jacob</t>
  </si>
  <si>
    <t>FONSECA, Joao</t>
  </si>
  <si>
    <t>FONSECA</t>
  </si>
  <si>
    <t>BROOKSBY, Jenson</t>
  </si>
  <si>
    <t>GRIEKSPOOR, Tallon</t>
  </si>
  <si>
    <t>BROOKSBY</t>
  </si>
  <si>
    <t>LEHECKA, Jiri</t>
  </si>
  <si>
    <t>DELLIEN, Hugo</t>
  </si>
  <si>
    <t>LEHECKA</t>
  </si>
  <si>
    <t>BELLUCCI, Mattia</t>
  </si>
  <si>
    <t>CRAWFORD, Oliver</t>
  </si>
  <si>
    <t>BELLUCCI</t>
  </si>
  <si>
    <t>NORRIE, Cameron</t>
  </si>
  <si>
    <t>BAUTISTA AGUT, Roberto</t>
  </si>
  <si>
    <t>NORRIE</t>
  </si>
  <si>
    <t>MOLLER, Elmer</t>
  </si>
  <si>
    <t>TIAFOE, Frances</t>
  </si>
  <si>
    <t>TIAFOE</t>
  </si>
  <si>
    <t>RUBLEV, Andrey</t>
  </si>
  <si>
    <t>DJERE, Laslo</t>
  </si>
  <si>
    <t>RUBLEV</t>
  </si>
  <si>
    <t>BERGS, Zizou</t>
  </si>
  <si>
    <t>HARRIS, Lloyd</t>
  </si>
  <si>
    <t>MANNARINO, Adrian</t>
  </si>
  <si>
    <t>O'CONNELL, Christopher</t>
  </si>
  <si>
    <t>MANNARINO</t>
  </si>
  <si>
    <t>ROYER, Valentin</t>
  </si>
  <si>
    <t>TSITSIPAS, Stefanos</t>
  </si>
  <si>
    <t>ROYER</t>
  </si>
  <si>
    <t>AUGER-ALIASSIME, Felix</t>
  </si>
  <si>
    <t>DUCKWORTH, James</t>
  </si>
  <si>
    <t>AUGER-ALIASSIME</t>
  </si>
  <si>
    <t>STRUFF, Jan-Lennard</t>
  </si>
  <si>
    <t>MISOLIC, Filip</t>
  </si>
  <si>
    <t>STRUFF</t>
  </si>
  <si>
    <t>TARVET, Oliver</t>
  </si>
  <si>
    <t>RIEDI, Leandro</t>
  </si>
  <si>
    <t>TARVET</t>
  </si>
  <si>
    <t>FOGNINI, Fabio</t>
  </si>
  <si>
    <t>ALCARAZ, Carlos</t>
  </si>
  <si>
    <t>ALCARAZ</t>
  </si>
  <si>
    <t>Probabilitat 1</t>
  </si>
  <si>
    <t>Probabilitat 2</t>
  </si>
  <si>
    <t>Guanyador</t>
  </si>
  <si>
    <t>Acert</t>
  </si>
  <si>
    <t>IBM Winner</t>
  </si>
  <si>
    <t>Total encertats:</t>
  </si>
  <si>
    <t>IBM % acert:</t>
  </si>
  <si>
    <t>Iker % acert:</t>
  </si>
  <si>
    <t>IBM</t>
  </si>
  <si>
    <t>Iker</t>
  </si>
  <si>
    <t>Total  acertats</t>
  </si>
  <si>
    <t>% acertats</t>
  </si>
  <si>
    <t>Iker V2 % acert:</t>
  </si>
  <si>
    <t>Iker V2</t>
  </si>
  <si>
    <t>Iker V3 % acert:</t>
  </si>
  <si>
    <t>Iker Winner</t>
  </si>
  <si>
    <t>Correcte</t>
  </si>
  <si>
    <t>POPYRIN</t>
  </si>
  <si>
    <t>MEDVEDEV</t>
  </si>
  <si>
    <t>RUNE</t>
  </si>
  <si>
    <t>GRIEKSPOOR</t>
  </si>
  <si>
    <t>BERGS</t>
  </si>
  <si>
    <t>TSITSIPAS</t>
  </si>
  <si>
    <t>RIEDI</t>
  </si>
  <si>
    <t>BERRETTINI</t>
  </si>
  <si>
    <t>ZVEREV</t>
  </si>
  <si>
    <t>CERUNDOLO</t>
  </si>
  <si>
    <t>SAFIULLIN</t>
  </si>
  <si>
    <t>BAUTISTA</t>
  </si>
  <si>
    <t>ETCHEVERRY</t>
  </si>
  <si>
    <t>HALYS</t>
  </si>
  <si>
    <t>LOFFHAGEN</t>
  </si>
  <si>
    <t>SHAPOVALOV</t>
  </si>
  <si>
    <t>MEDJEDOVIC</t>
  </si>
  <si>
    <t>HUMBERT</t>
  </si>
  <si>
    <t>BUBLIK</t>
  </si>
  <si>
    <t>BASILASHVILI</t>
  </si>
  <si>
    <t>MICHELSEN</t>
  </si>
  <si>
    <t>ARNALDI</t>
  </si>
  <si>
    <t>Guanyador de les prediccions</t>
  </si>
  <si>
    <t>Qui prediu millor</t>
  </si>
  <si>
    <t>Probabilitat A Model Propi</t>
  </si>
  <si>
    <t>Probabilitat B Model Propi</t>
  </si>
  <si>
    <t>Probabilitat A IBM</t>
  </si>
  <si>
    <t>Probabilitat B IBM</t>
  </si>
  <si>
    <t>Partit</t>
  </si>
  <si>
    <t>Acert IBM</t>
  </si>
  <si>
    <t>Acert Iker</t>
  </si>
  <si>
    <t>THOMSON</t>
  </si>
  <si>
    <t>Ronda</t>
  </si>
  <si>
    <t>Ronda 1</t>
  </si>
  <si>
    <t>Ronda 2</t>
  </si>
  <si>
    <t>Ronda 3</t>
  </si>
  <si>
    <t>Ronda 4</t>
  </si>
  <si>
    <t>Quarts de Final</t>
  </si>
  <si>
    <t>Final</t>
  </si>
  <si>
    <t>Encerts IBM</t>
  </si>
  <si>
    <t>Encerts Model Propi</t>
  </si>
  <si>
    <t>Semi Final</t>
  </si>
  <si>
    <t>Accuracy IBM</t>
  </si>
  <si>
    <t>Accuracy Model Propi</t>
  </si>
  <si>
    <t>Brier Score Model Propi</t>
  </si>
  <si>
    <t>Prob IBM Guanyador</t>
  </si>
  <si>
    <t>(p - o)^2</t>
  </si>
  <si>
    <t>Brier Score IBM</t>
  </si>
  <si>
    <t>Brier Score IBM:</t>
  </si>
  <si>
    <t>Brier Score Iker: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</si>
</sst>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2" fontId="0" fillId="0" borderId="0" xfId="0" applyNumberFormat="1"/>
    <xf numFmtId="0" fontId="2" fillId="2" borderId="1" xfId="0" applyFont="1" applyFill="1" applyBorder="1" applyAlignment="1">
      <alignment horizontal="right"/>
    </xf>
    <xf numFmtId="0" fontId="0" fillId="2" borderId="2" xfId="0" applyFill="1" applyBorder="1"/>
    <xf numFmtId="0" fontId="2" fillId="2" borderId="3" xfId="0" applyFont="1" applyFill="1" applyBorder="1" applyAlignment="1">
      <alignment horizontal="right"/>
    </xf>
    <xf numFmtId="10" fontId="0" fillId="2" borderId="4" xfId="1" applyNumberFormat="1" applyFont="1" applyFill="1" applyBorder="1"/>
    <xf numFmtId="10" fontId="0" fillId="0" borderId="0" xfId="0" applyNumberFormat="1"/>
    <xf numFmtId="0" fontId="0" fillId="3" borderId="0" xfId="0" applyFill="1"/>
    <xf numFmtId="10" fontId="0" fillId="4" borderId="6" xfId="0" applyNumberFormat="1" applyFill="1" applyBorder="1"/>
    <xf numFmtId="0" fontId="0" fillId="4" borderId="7" xfId="0" applyFill="1" applyBorder="1"/>
    <xf numFmtId="0" fontId="0" fillId="4" borderId="8" xfId="0" applyFill="1" applyBorder="1"/>
    <xf numFmtId="10" fontId="0" fillId="4" borderId="9" xfId="0" applyNumberFormat="1" applyFill="1" applyBorder="1"/>
    <xf numFmtId="0" fontId="2" fillId="3" borderId="5" xfId="0" applyFont="1" applyFill="1" applyBorder="1"/>
    <xf numFmtId="0" fontId="2" fillId="3" borderId="10" xfId="0" applyFont="1" applyFill="1" applyBorder="1"/>
    <xf numFmtId="0" fontId="4" fillId="0" borderId="0" xfId="0" applyFont="1"/>
    <xf numFmtId="0" fontId="0" fillId="2" borderId="4" xfId="0" applyFill="1" applyBorder="1"/>
  </cellXfs>
  <cellStyles count="2">
    <cellStyle name="Normal" xfId="0" builtinId="0"/>
    <cellStyle name="Per cent" xfId="1" builtinId="5"/>
  </cellStyles>
  <dxfs count="71"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340096"/>
        <c:axId val="693327136"/>
      </c:barChart>
      <c:catAx>
        <c:axId val="693340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27136"/>
        <c:crosses val="autoZero"/>
        <c:auto val="1"/>
        <c:lblAlgn val="ctr"/>
        <c:lblOffset val="100"/>
        <c:noMultiLvlLbl val="0"/>
      </c:catAx>
      <c:valAx>
        <c:axId val="6933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per rondes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Grafics!$B$1</c:f>
              <c:strCache>
                <c:ptCount val="1"/>
                <c:pt idx="0">
                  <c:v>Encerts IBM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Grafics!$A$2:$A$8</c:f>
              <c:strCache>
                <c:ptCount val="7"/>
                <c:pt idx="0">
                  <c:v>Ronda 1</c:v>
                </c:pt>
                <c:pt idx="1">
                  <c:v>Ronda 2</c:v>
                </c:pt>
                <c:pt idx="2">
                  <c:v>Ronda 3</c:v>
                </c:pt>
                <c:pt idx="3">
                  <c:v>Ronda 4</c:v>
                </c:pt>
                <c:pt idx="4">
                  <c:v>Quarts de Final</c:v>
                </c:pt>
                <c:pt idx="5">
                  <c:v>Semi Final</c:v>
                </c:pt>
                <c:pt idx="6">
                  <c:v>Final</c:v>
                </c:pt>
              </c:strCache>
            </c:strRef>
          </c:cat>
          <c:val>
            <c:numRef>
              <c:f>Grafics!$B$2:$B$8</c:f>
              <c:numCache>
                <c:formatCode>General</c:formatCode>
                <c:ptCount val="7"/>
                <c:pt idx="0">
                  <c:v>37</c:v>
                </c:pt>
                <c:pt idx="1">
                  <c:v>22</c:v>
                </c:pt>
                <c:pt idx="2">
                  <c:v>11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6-477B-BFA7-E4863E9B20BE}"/>
            </c:ext>
          </c:extLst>
        </c:ser>
        <c:ser>
          <c:idx val="1"/>
          <c:order val="1"/>
          <c:tx>
            <c:strRef>
              <c:f>Grafics!$C$1</c:f>
              <c:strCache>
                <c:ptCount val="1"/>
                <c:pt idx="0">
                  <c:v>Encerts Model Propi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Grafics!$A$2:$A$8</c:f>
              <c:strCache>
                <c:ptCount val="7"/>
                <c:pt idx="0">
                  <c:v>Ronda 1</c:v>
                </c:pt>
                <c:pt idx="1">
                  <c:v>Ronda 2</c:v>
                </c:pt>
                <c:pt idx="2">
                  <c:v>Ronda 3</c:v>
                </c:pt>
                <c:pt idx="3">
                  <c:v>Ronda 4</c:v>
                </c:pt>
                <c:pt idx="4">
                  <c:v>Quarts de Final</c:v>
                </c:pt>
                <c:pt idx="5">
                  <c:v>Semi Final</c:v>
                </c:pt>
                <c:pt idx="6">
                  <c:v>Final</c:v>
                </c:pt>
              </c:strCache>
            </c:strRef>
          </c:cat>
          <c:val>
            <c:numRef>
              <c:f>Grafics!$C$2:$C$8</c:f>
              <c:numCache>
                <c:formatCode>General</c:formatCode>
                <c:ptCount val="7"/>
                <c:pt idx="0">
                  <c:v>42</c:v>
                </c:pt>
                <c:pt idx="1">
                  <c:v>23</c:v>
                </c:pt>
                <c:pt idx="2">
                  <c:v>12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6-477B-BFA7-E4863E9B2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378016"/>
        <c:axId val="693379456"/>
      </c:barChart>
      <c:lineChart>
        <c:grouping val="standard"/>
        <c:varyColors val="0"/>
        <c:ser>
          <c:idx val="2"/>
          <c:order val="2"/>
          <c:tx>
            <c:strRef>
              <c:f>Grafics!$D$1</c:f>
              <c:strCache>
                <c:ptCount val="1"/>
                <c:pt idx="0">
                  <c:v>Accuracy IBM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Grafics!$A$2:$A$8</c:f>
              <c:strCache>
                <c:ptCount val="7"/>
                <c:pt idx="0">
                  <c:v>Ronda 1</c:v>
                </c:pt>
                <c:pt idx="1">
                  <c:v>Ronda 2</c:v>
                </c:pt>
                <c:pt idx="2">
                  <c:v>Ronda 3</c:v>
                </c:pt>
                <c:pt idx="3">
                  <c:v>Ronda 4</c:v>
                </c:pt>
                <c:pt idx="4">
                  <c:v>Quarts de Final</c:v>
                </c:pt>
                <c:pt idx="5">
                  <c:v>Semi Final</c:v>
                </c:pt>
                <c:pt idx="6">
                  <c:v>Final</c:v>
                </c:pt>
              </c:strCache>
            </c:strRef>
          </c:cat>
          <c:val>
            <c:numRef>
              <c:f>Grafics!$D$2:$D$8</c:f>
              <c:numCache>
                <c:formatCode>0.00%</c:formatCode>
                <c:ptCount val="7"/>
                <c:pt idx="0">
                  <c:v>0.578125</c:v>
                </c:pt>
                <c:pt idx="1">
                  <c:v>0.6875</c:v>
                </c:pt>
                <c:pt idx="2">
                  <c:v>0.6875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A6-477B-BFA7-E4863E9B20BE}"/>
            </c:ext>
          </c:extLst>
        </c:ser>
        <c:ser>
          <c:idx val="3"/>
          <c:order val="3"/>
          <c:tx>
            <c:strRef>
              <c:f>Grafics!$E$1</c:f>
              <c:strCache>
                <c:ptCount val="1"/>
                <c:pt idx="0">
                  <c:v>Accuracy Model Propi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Grafics!$A$2:$A$8</c:f>
              <c:strCache>
                <c:ptCount val="7"/>
                <c:pt idx="0">
                  <c:v>Ronda 1</c:v>
                </c:pt>
                <c:pt idx="1">
                  <c:v>Ronda 2</c:v>
                </c:pt>
                <c:pt idx="2">
                  <c:v>Ronda 3</c:v>
                </c:pt>
                <c:pt idx="3">
                  <c:v>Ronda 4</c:v>
                </c:pt>
                <c:pt idx="4">
                  <c:v>Quarts de Final</c:v>
                </c:pt>
                <c:pt idx="5">
                  <c:v>Semi Final</c:v>
                </c:pt>
                <c:pt idx="6">
                  <c:v>Final</c:v>
                </c:pt>
              </c:strCache>
            </c:strRef>
          </c:cat>
          <c:val>
            <c:numRef>
              <c:f>Grafics!$E$2:$E$8</c:f>
              <c:numCache>
                <c:formatCode>0.00%</c:formatCode>
                <c:ptCount val="7"/>
                <c:pt idx="0">
                  <c:v>0.65625</c:v>
                </c:pt>
                <c:pt idx="1">
                  <c:v>0.71875</c:v>
                </c:pt>
                <c:pt idx="2">
                  <c:v>0.75</c:v>
                </c:pt>
                <c:pt idx="3">
                  <c:v>0.75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A6-477B-BFA7-E4863E9B2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383776"/>
        <c:axId val="693383296"/>
      </c:lineChart>
      <c:catAx>
        <c:axId val="69337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79456"/>
        <c:crosses val="autoZero"/>
        <c:auto val="1"/>
        <c:lblAlgn val="ctr"/>
        <c:lblOffset val="100"/>
        <c:noMultiLvlLbl val="0"/>
      </c:catAx>
      <c:valAx>
        <c:axId val="69337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78016"/>
        <c:crosses val="autoZero"/>
        <c:crossBetween val="between"/>
      </c:valAx>
      <c:valAx>
        <c:axId val="693383296"/>
        <c:scaling>
          <c:orientation val="minMax"/>
          <c:max val="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83776"/>
        <c:crosses val="max"/>
        <c:crossBetween val="between"/>
      </c:valAx>
      <c:catAx>
        <c:axId val="69338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3832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Brier</a:t>
            </a:r>
            <a:r>
              <a:rPr lang="en-US" baseline="0"/>
              <a:t> Score per rondes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Grafics!$F$1</c:f>
              <c:strCache>
                <c:ptCount val="1"/>
                <c:pt idx="0">
                  <c:v>Brier Score IBM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Grafics!$A$2:$A$8</c:f>
              <c:strCache>
                <c:ptCount val="7"/>
                <c:pt idx="0">
                  <c:v>Ronda 1</c:v>
                </c:pt>
                <c:pt idx="1">
                  <c:v>Ronda 2</c:v>
                </c:pt>
                <c:pt idx="2">
                  <c:v>Ronda 3</c:v>
                </c:pt>
                <c:pt idx="3">
                  <c:v>Ronda 4</c:v>
                </c:pt>
                <c:pt idx="4">
                  <c:v>Quarts de Final</c:v>
                </c:pt>
                <c:pt idx="5">
                  <c:v>Semi Final</c:v>
                </c:pt>
                <c:pt idx="6">
                  <c:v>Final</c:v>
                </c:pt>
              </c:strCache>
            </c:strRef>
          </c:cat>
          <c:val>
            <c:numRef>
              <c:f>Grafics!$F$2:$F$8</c:f>
              <c:numCache>
                <c:formatCode>General</c:formatCode>
                <c:ptCount val="7"/>
                <c:pt idx="0">
                  <c:v>0.2387</c:v>
                </c:pt>
                <c:pt idx="1">
                  <c:v>0.22245312499999995</c:v>
                </c:pt>
                <c:pt idx="2">
                  <c:v>0.18175624999999995</c:v>
                </c:pt>
                <c:pt idx="3">
                  <c:v>9.1112499999999999E-2</c:v>
                </c:pt>
                <c:pt idx="4">
                  <c:v>6.3750000000000001E-2</c:v>
                </c:pt>
                <c:pt idx="5">
                  <c:v>0.16820000000000002</c:v>
                </c:pt>
                <c:pt idx="6">
                  <c:v>0.22089999999999999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9-4F60-8FA5-21AEF496C141}"/>
            </c:ext>
          </c:extLst>
        </c:ser>
        <c:ser>
          <c:idx val="1"/>
          <c:order val="1"/>
          <c:tx>
            <c:strRef>
              <c:f>Grafics!$G$1</c:f>
              <c:strCache>
                <c:ptCount val="1"/>
                <c:pt idx="0">
                  <c:v>Brier Score Model Propi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Grafics!$A$2:$A$8</c:f>
              <c:strCache>
                <c:ptCount val="7"/>
                <c:pt idx="0">
                  <c:v>Ronda 1</c:v>
                </c:pt>
                <c:pt idx="1">
                  <c:v>Ronda 2</c:v>
                </c:pt>
                <c:pt idx="2">
                  <c:v>Ronda 3</c:v>
                </c:pt>
                <c:pt idx="3">
                  <c:v>Ronda 4</c:v>
                </c:pt>
                <c:pt idx="4">
                  <c:v>Quarts de Final</c:v>
                </c:pt>
                <c:pt idx="5">
                  <c:v>Semi Final</c:v>
                </c:pt>
                <c:pt idx="6">
                  <c:v>Final</c:v>
                </c:pt>
              </c:strCache>
            </c:strRef>
          </c:cat>
          <c:val>
            <c:numRef>
              <c:f>Grafics!$G$2:$G$8</c:f>
              <c:numCache>
                <c:formatCode>General</c:formatCode>
                <c:ptCount val="7"/>
                <c:pt idx="0">
                  <c:v>0.2387</c:v>
                </c:pt>
                <c:pt idx="1">
                  <c:v>0.2185</c:v>
                </c:pt>
                <c:pt idx="2">
                  <c:v>0.1578</c:v>
                </c:pt>
                <c:pt idx="3">
                  <c:v>0.13400000000000001</c:v>
                </c:pt>
                <c:pt idx="4">
                  <c:v>3.8399999999999997E-2</c:v>
                </c:pt>
                <c:pt idx="5">
                  <c:v>0.1293</c:v>
                </c:pt>
                <c:pt idx="6">
                  <c:v>0.32269999999999999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9-4F60-8FA5-21AEF496C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332896"/>
        <c:axId val="693329056"/>
      </c:lineChart>
      <c:catAx>
        <c:axId val="6933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29056"/>
        <c:crosses val="autoZero"/>
        <c:auto val="1"/>
        <c:lblAlgn val="ctr"/>
        <c:lblOffset val="100"/>
        <c:noMultiLvlLbl val="0"/>
      </c:catAx>
      <c:valAx>
        <c:axId val="6933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367393</xdr:colOff>
      <xdr:row>65</xdr:row>
      <xdr:rowOff>11794</xdr:rowOff>
    </xdr:from>
    <xdr:to>
      <xdr:col>14</xdr:col>
      <xdr:colOff>984250</xdr:colOff>
      <xdr:row>80</xdr:row>
      <xdr:rowOff>33565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E80DA1-27BE-9393-BECF-8BC8B2B15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790575</xdr:colOff>
      <xdr:row>13</xdr:row>
      <xdr:rowOff>127000</xdr:rowOff>
    </xdr:from>
    <xdr:to>
      <xdr:col>5</xdr:col>
      <xdr:colOff>1133475</xdr:colOff>
      <xdr:row>28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005372-7906-526C-5A49-0C49976FD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70347</xdr:colOff>
      <xdr:row>13</xdr:row>
      <xdr:rowOff>172322</xdr:rowOff>
    </xdr:from>
    <xdr:to>
      <xdr:col>12</xdr:col>
      <xdr:colOff>184896</xdr:colOff>
      <xdr:row>28</xdr:row>
      <xdr:rowOff>114051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F7CC93-BE9A-F2EE-20BC-1381315DC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16C7-25F8-4522-B3D0-0114E321248B}">
  <dimension ref="A1:V65"/>
  <sheetViews>
    <sheetView topLeftCell="K1" zoomScale="70" zoomScaleNormal="70" workbookViewId="0">
      <pane ySplit="1" topLeftCell="A2" activePane="bottomLeft" state="frozen"/>
      <selection pane="bottomLeft" activeCell="U23" sqref="U23"/>
    </sheetView>
  </sheetViews>
  <sheetFormatPr defaultColWidth="8.81640625" defaultRowHeight="14.5" x14ac:dyDescent="0.35"/>
  <cols>
    <col min="1" max="1" width="23.90625" bestFit="1" customWidth="1"/>
    <col min="2" max="2" width="27.1796875" bestFit="1" customWidth="1"/>
    <col min="3" max="4" width="16.08984375" bestFit="1" customWidth="1"/>
    <col min="5" max="5" width="18.90625" bestFit="1" customWidth="1"/>
    <col min="6" max="6" width="18.453125" bestFit="1" customWidth="1"/>
    <col min="7" max="7" width="9.6328125" bestFit="1" customWidth="1"/>
    <col min="8" max="8" width="18.453125" bestFit="1" customWidth="1"/>
    <col min="9" max="9" width="8.36328125" bestFit="1" customWidth="1"/>
    <col min="10" max="11" width="22.54296875" bestFit="1" customWidth="1"/>
    <col min="12" max="12" width="25.81640625" bestFit="1" customWidth="1"/>
    <col min="13" max="13" width="14.90625" bestFit="1" customWidth="1"/>
    <col min="14" max="15" width="15.81640625" bestFit="1" customWidth="1"/>
    <col min="16" max="16" width="48.36328125" bestFit="1" customWidth="1"/>
    <col min="17" max="17" width="17.7265625" bestFit="1" customWidth="1"/>
    <col min="18" max="18" width="8.453125" bestFit="1" customWidth="1"/>
    <col min="19" max="19" width="7" bestFit="1" customWidth="1"/>
    <col min="21" max="21" width="13.81640625" bestFit="1" customWidth="1"/>
  </cols>
  <sheetData>
    <row r="1" spans="1:22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196</v>
      </c>
      <c r="F1" s="1" t="s">
        <v>198</v>
      </c>
      <c r="G1" s="1" t="s">
        <v>197</v>
      </c>
      <c r="H1" s="1" t="s">
        <v>209</v>
      </c>
      <c r="I1" s="1" t="s">
        <v>210</v>
      </c>
      <c r="J1" s="1" t="s">
        <v>235</v>
      </c>
      <c r="K1" s="1" t="s">
        <v>236</v>
      </c>
      <c r="L1" s="1" t="s">
        <v>233</v>
      </c>
      <c r="M1" s="1" t="s">
        <v>234</v>
      </c>
      <c r="N1" s="1" t="s">
        <v>237</v>
      </c>
      <c r="O1" s="1" t="s">
        <v>238</v>
      </c>
      <c r="P1" s="1" t="s">
        <v>239</v>
      </c>
      <c r="Q1" s="1" t="s">
        <v>256</v>
      </c>
      <c r="R1" s="15" t="s">
        <v>257</v>
      </c>
    </row>
    <row r="2" spans="1:22" x14ac:dyDescent="0.35">
      <c r="A2" t="s">
        <v>3</v>
      </c>
      <c r="B2" t="s">
        <v>4</v>
      </c>
      <c r="C2" s="2">
        <v>79</v>
      </c>
      <c r="D2" s="2">
        <v>21</v>
      </c>
      <c r="E2" t="s">
        <v>5</v>
      </c>
      <c r="F2" t="str">
        <f>LEFT(IF(C2&gt;D2, A2, B2), FIND(",", IF(C2&gt;D2, A2, B2)) - 1)</f>
        <v>SINNER</v>
      </c>
      <c r="G2">
        <f>IF(F2=E2, 1, 0)</f>
        <v>1</v>
      </c>
      <c r="H2" t="s">
        <v>5</v>
      </c>
      <c r="I2">
        <f>IF(H2=E2, 1, 0)</f>
        <v>1</v>
      </c>
      <c r="J2" s="7">
        <f>(1-0.047222)</f>
        <v>0.95277800000000001</v>
      </c>
      <c r="K2" s="7">
        <f>1-J2</f>
        <v>4.7221999999999986E-2</v>
      </c>
      <c r="L2" t="str">
        <f>IF(G2=I2, "Empat", IF(I2=1, "Guanyem", "Perdem"))</f>
        <v>Empat</v>
      </c>
      <c r="M2" s="7">
        <f>IF(ISNUMBER(SEARCH(E2, A2)), J2-(C2/100), K2-(D2/100))</f>
        <v>0.16277799999999998</v>
      </c>
      <c r="N2" s="7">
        <f>C2/100</f>
        <v>0.79</v>
      </c>
      <c r="O2" s="7">
        <f>D2/100</f>
        <v>0.21</v>
      </c>
      <c r="P2" t="str">
        <f>_xlfn.TEXTBEFORE(A2, ",") &amp; " vs. " &amp; _xlfn.TEXTBEFORE(B2, ",")</f>
        <v>SINNER vs. NARDI</v>
      </c>
      <c r="Q2" s="7">
        <f>IF(N2&gt;O2, N2, O2)</f>
        <v>0.79</v>
      </c>
      <c r="R2">
        <f>(Q2-G2)^2</f>
        <v>4.4099999999999986E-2</v>
      </c>
    </row>
    <row r="3" spans="1:22" ht="15" thickBot="1" x14ac:dyDescent="0.4">
      <c r="A3" t="s">
        <v>6</v>
      </c>
      <c r="B3" t="s">
        <v>7</v>
      </c>
      <c r="C3" s="2">
        <v>53</v>
      </c>
      <c r="D3" s="2">
        <v>47</v>
      </c>
      <c r="E3" t="s">
        <v>8</v>
      </c>
      <c r="F3" t="str">
        <f t="shared" ref="F3:H65" si="0">LEFT(IF(C3&gt;D3, A3, B3), FIND(",", IF(C3&gt;D3, A3, B3)) - 1)</f>
        <v>TSENG</v>
      </c>
      <c r="G3">
        <f t="shared" ref="G3:G65" si="1">IF(F3=E3, 1, 0)</f>
        <v>0</v>
      </c>
      <c r="H3" t="s">
        <v>8</v>
      </c>
      <c r="I3">
        <f>IF(H3=E3, 1, 0)</f>
        <v>1</v>
      </c>
      <c r="J3" s="7">
        <v>0.32434299999999999</v>
      </c>
      <c r="K3" s="7">
        <f t="shared" ref="K3:K65" si="2">1-J3</f>
        <v>0.67565699999999995</v>
      </c>
      <c r="L3" t="str">
        <f t="shared" ref="L3:L65" si="3">IF(G3=I3, "Empat", IF(I3=1, "Guanyem", "Perdem"))</f>
        <v>Guanyem</v>
      </c>
      <c r="M3" s="7">
        <f t="shared" ref="M3:M65" si="4">IF(ISNUMBER(SEARCH(E3, A3)), J3-(C3/100), K3-(D3/100))</f>
        <v>0.20565699999999998</v>
      </c>
      <c r="N3" s="7">
        <f t="shared" ref="N3:N65" si="5">C3/100</f>
        <v>0.53</v>
      </c>
      <c r="O3" s="7">
        <f t="shared" ref="O3:O65" si="6">D3/100</f>
        <v>0.47</v>
      </c>
      <c r="P3" t="str">
        <f t="shared" ref="P3:P65" si="7">_xlfn.TEXTBEFORE(A3, ",") &amp; " vs. " &amp; _xlfn.TEXTBEFORE(B3, ",")</f>
        <v>TSENG vs. VUKIC</v>
      </c>
      <c r="Q3" s="7">
        <f t="shared" ref="Q3:Q65" si="8">IF(N3&gt;O3, N3, O3)</f>
        <v>0.53</v>
      </c>
      <c r="R3">
        <f t="shared" ref="R3:R65" si="9">(Q3-G3)^2</f>
        <v>0.28090000000000004</v>
      </c>
    </row>
    <row r="4" spans="1:22" x14ac:dyDescent="0.35">
      <c r="A4" t="s">
        <v>9</v>
      </c>
      <c r="B4" t="s">
        <v>10</v>
      </c>
      <c r="C4" s="2">
        <v>70</v>
      </c>
      <c r="D4" s="2">
        <v>30</v>
      </c>
      <c r="E4" t="s">
        <v>11</v>
      </c>
      <c r="F4" t="str">
        <f t="shared" si="0"/>
        <v>MARTÍNEZ</v>
      </c>
      <c r="G4">
        <f t="shared" si="1"/>
        <v>1</v>
      </c>
      <c r="H4" t="s">
        <v>225</v>
      </c>
      <c r="I4">
        <f t="shared" ref="I4:I65" si="10">IF(H4=E4, 1, 0)</f>
        <v>0</v>
      </c>
      <c r="J4" s="7">
        <f>(1-0.725827)</f>
        <v>0.274173</v>
      </c>
      <c r="K4" s="7">
        <f t="shared" si="2"/>
        <v>0.725827</v>
      </c>
      <c r="L4" t="str">
        <f t="shared" si="3"/>
        <v>Perdem</v>
      </c>
      <c r="M4" s="7">
        <f t="shared" si="4"/>
        <v>-0.42582699999999996</v>
      </c>
      <c r="N4" s="7">
        <f t="shared" si="5"/>
        <v>0.7</v>
      </c>
      <c r="O4" s="7">
        <f t="shared" si="6"/>
        <v>0.3</v>
      </c>
      <c r="P4" t="str">
        <f t="shared" si="7"/>
        <v>MARTÍNEZ vs. LOFFHAGEN</v>
      </c>
      <c r="Q4" s="7">
        <f t="shared" si="8"/>
        <v>0.7</v>
      </c>
      <c r="R4">
        <f t="shared" si="9"/>
        <v>9.0000000000000024E-2</v>
      </c>
      <c r="U4" s="3" t="s">
        <v>199</v>
      </c>
      <c r="V4" s="4">
        <v>37</v>
      </c>
    </row>
    <row r="5" spans="1:22" ht="15" thickBot="1" x14ac:dyDescent="0.4">
      <c r="A5" t="s">
        <v>12</v>
      </c>
      <c r="B5" t="s">
        <v>13</v>
      </c>
      <c r="C5" s="2">
        <v>41</v>
      </c>
      <c r="D5" s="2">
        <v>59</v>
      </c>
      <c r="E5" t="s">
        <v>14</v>
      </c>
      <c r="F5" t="str">
        <f t="shared" si="0"/>
        <v>SHAPOVALOV</v>
      </c>
      <c r="G5">
        <f t="shared" si="1"/>
        <v>0</v>
      </c>
      <c r="H5" t="s">
        <v>226</v>
      </c>
      <c r="I5">
        <f t="shared" si="10"/>
        <v>0</v>
      </c>
      <c r="J5" s="7">
        <v>0.140101</v>
      </c>
      <c r="K5" s="7">
        <f t="shared" si="2"/>
        <v>0.85989899999999997</v>
      </c>
      <c r="L5" t="str">
        <f t="shared" si="3"/>
        <v>Empat</v>
      </c>
      <c r="M5" s="7">
        <f t="shared" si="4"/>
        <v>-0.269899</v>
      </c>
      <c r="N5" s="7">
        <f t="shared" si="5"/>
        <v>0.41</v>
      </c>
      <c r="O5" s="7">
        <f t="shared" si="6"/>
        <v>0.59</v>
      </c>
      <c r="P5" t="str">
        <f t="shared" si="7"/>
        <v>NAVONE vs. SHAPOVALOV</v>
      </c>
      <c r="Q5" s="7">
        <f t="shared" si="8"/>
        <v>0.59</v>
      </c>
      <c r="R5">
        <f t="shared" si="9"/>
        <v>0.34809999999999997</v>
      </c>
      <c r="U5" s="5" t="s">
        <v>200</v>
      </c>
      <c r="V5" s="6">
        <f>37/64</f>
        <v>0.578125</v>
      </c>
    </row>
    <row r="6" spans="1:22" ht="15" thickBot="1" x14ac:dyDescent="0.4">
      <c r="A6" t="s">
        <v>15</v>
      </c>
      <c r="B6" t="s">
        <v>16</v>
      </c>
      <c r="C6" s="2">
        <v>67</v>
      </c>
      <c r="D6" s="2">
        <v>33</v>
      </c>
      <c r="E6" t="s">
        <v>17</v>
      </c>
      <c r="F6" t="str">
        <f t="shared" si="0"/>
        <v>DIMITROV</v>
      </c>
      <c r="G6">
        <f t="shared" si="1"/>
        <v>1</v>
      </c>
      <c r="H6" t="s">
        <v>17</v>
      </c>
      <c r="I6">
        <f t="shared" si="10"/>
        <v>1</v>
      </c>
      <c r="J6" s="7">
        <v>0.57850999999999997</v>
      </c>
      <c r="K6" s="7">
        <f t="shared" si="2"/>
        <v>0.42149000000000003</v>
      </c>
      <c r="L6" t="str">
        <f t="shared" si="3"/>
        <v>Empat</v>
      </c>
      <c r="M6" s="7">
        <f t="shared" si="4"/>
        <v>-9.1490000000000071E-2</v>
      </c>
      <c r="N6" s="7">
        <f t="shared" si="5"/>
        <v>0.67</v>
      </c>
      <c r="O6" s="7">
        <f t="shared" si="6"/>
        <v>0.33</v>
      </c>
      <c r="P6" t="str">
        <f t="shared" si="7"/>
        <v>DIMITROV vs. NISHIOKA</v>
      </c>
      <c r="Q6" s="7">
        <f t="shared" si="8"/>
        <v>0.67</v>
      </c>
      <c r="R6">
        <f t="shared" si="9"/>
        <v>0.10889999999999997</v>
      </c>
      <c r="U6" s="5" t="s">
        <v>201</v>
      </c>
      <c r="V6" s="6">
        <f>58/64</f>
        <v>0.90625</v>
      </c>
    </row>
    <row r="7" spans="1:22" ht="15" thickBot="1" x14ac:dyDescent="0.4">
      <c r="A7" t="s">
        <v>18</v>
      </c>
      <c r="B7" t="s">
        <v>19</v>
      </c>
      <c r="C7" s="2">
        <v>46</v>
      </c>
      <c r="D7" s="2">
        <v>54</v>
      </c>
      <c r="E7" t="s">
        <v>20</v>
      </c>
      <c r="F7" t="str">
        <f t="shared" si="0"/>
        <v>MOUTET</v>
      </c>
      <c r="G7">
        <f t="shared" si="1"/>
        <v>1</v>
      </c>
      <c r="H7" t="s">
        <v>20</v>
      </c>
      <c r="I7">
        <f t="shared" si="10"/>
        <v>1</v>
      </c>
      <c r="J7" s="7">
        <v>0.32292799999999999</v>
      </c>
      <c r="K7" s="7">
        <f t="shared" si="2"/>
        <v>0.67707200000000001</v>
      </c>
      <c r="L7" t="str">
        <f t="shared" si="3"/>
        <v>Empat</v>
      </c>
      <c r="M7" s="7">
        <f t="shared" si="4"/>
        <v>0.13707199999999997</v>
      </c>
      <c r="N7" s="7">
        <f t="shared" si="5"/>
        <v>0.46</v>
      </c>
      <c r="O7" s="7">
        <f t="shared" si="6"/>
        <v>0.54</v>
      </c>
      <c r="P7" t="str">
        <f t="shared" si="7"/>
        <v>COMESANA vs. MOUTET</v>
      </c>
      <c r="Q7" s="7">
        <f t="shared" si="8"/>
        <v>0.54</v>
      </c>
      <c r="R7">
        <f t="shared" si="9"/>
        <v>0.21159999999999995</v>
      </c>
      <c r="U7" s="5" t="s">
        <v>206</v>
      </c>
      <c r="V7" s="6">
        <f>42/64</f>
        <v>0.65625</v>
      </c>
    </row>
    <row r="8" spans="1:22" ht="15" thickBot="1" x14ac:dyDescent="0.4">
      <c r="A8" t="s">
        <v>21</v>
      </c>
      <c r="B8" t="s">
        <v>22</v>
      </c>
      <c r="C8" s="2">
        <v>34</v>
      </c>
      <c r="D8" s="2">
        <v>66</v>
      </c>
      <c r="E8" t="s">
        <v>23</v>
      </c>
      <c r="F8" t="str">
        <f t="shared" si="0"/>
        <v>MEDJEDOVIC</v>
      </c>
      <c r="G8">
        <f t="shared" si="1"/>
        <v>0</v>
      </c>
      <c r="H8" t="s">
        <v>227</v>
      </c>
      <c r="I8">
        <f t="shared" si="10"/>
        <v>0</v>
      </c>
      <c r="J8" s="7">
        <f>(1-0.66349)</f>
        <v>0.33650999999999998</v>
      </c>
      <c r="K8" s="7">
        <f t="shared" si="2"/>
        <v>0.66349000000000002</v>
      </c>
      <c r="L8" t="str">
        <f t="shared" si="3"/>
        <v>Empat</v>
      </c>
      <c r="M8" s="7">
        <f t="shared" si="4"/>
        <v>-3.4900000000000486E-3</v>
      </c>
      <c r="N8" s="7">
        <f t="shared" si="5"/>
        <v>0.34</v>
      </c>
      <c r="O8" s="7">
        <f t="shared" si="6"/>
        <v>0.66</v>
      </c>
      <c r="P8" t="str">
        <f t="shared" si="7"/>
        <v>OFNER vs. MEDJEDOVIC</v>
      </c>
      <c r="Q8" s="7">
        <f t="shared" si="8"/>
        <v>0.66</v>
      </c>
      <c r="R8">
        <f t="shared" si="9"/>
        <v>0.43560000000000004</v>
      </c>
      <c r="U8" s="5" t="s">
        <v>208</v>
      </c>
      <c r="V8" s="6">
        <f>41/64</f>
        <v>0.640625</v>
      </c>
    </row>
    <row r="9" spans="1:22" ht="15" thickBot="1" x14ac:dyDescent="0.4">
      <c r="A9" t="s">
        <v>24</v>
      </c>
      <c r="B9" t="s">
        <v>25</v>
      </c>
      <c r="C9" s="2">
        <v>29</v>
      </c>
      <c r="D9" s="2">
        <v>71</v>
      </c>
      <c r="E9" t="s">
        <v>26</v>
      </c>
      <c r="F9" t="str">
        <f t="shared" si="0"/>
        <v>PAUL</v>
      </c>
      <c r="G9">
        <f t="shared" si="1"/>
        <v>1</v>
      </c>
      <c r="H9" t="s">
        <v>26</v>
      </c>
      <c r="I9">
        <f t="shared" si="10"/>
        <v>1</v>
      </c>
      <c r="J9" s="7">
        <v>5.0000000000000001E-3</v>
      </c>
      <c r="K9" s="7">
        <f t="shared" si="2"/>
        <v>0.995</v>
      </c>
      <c r="L9" t="str">
        <f t="shared" si="3"/>
        <v>Empat</v>
      </c>
      <c r="M9" s="7">
        <f t="shared" si="4"/>
        <v>0.28500000000000003</v>
      </c>
      <c r="N9" s="7">
        <f t="shared" si="5"/>
        <v>0.28999999999999998</v>
      </c>
      <c r="O9" s="7">
        <f t="shared" si="6"/>
        <v>0.71</v>
      </c>
      <c r="P9" t="str">
        <f t="shared" si="7"/>
        <v>MONDAY vs. PAUL</v>
      </c>
      <c r="Q9" s="7">
        <f t="shared" si="8"/>
        <v>0.71</v>
      </c>
      <c r="R9">
        <f t="shared" si="9"/>
        <v>8.4100000000000022E-2</v>
      </c>
    </row>
    <row r="10" spans="1:22" x14ac:dyDescent="0.35">
      <c r="A10" t="s">
        <v>27</v>
      </c>
      <c r="B10" t="s">
        <v>28</v>
      </c>
      <c r="C10" s="2">
        <v>72</v>
      </c>
      <c r="D10" s="2">
        <v>28</v>
      </c>
      <c r="E10" t="s">
        <v>29</v>
      </c>
      <c r="F10" t="str">
        <f t="shared" si="0"/>
        <v>SHELTON</v>
      </c>
      <c r="G10">
        <f t="shared" si="1"/>
        <v>1</v>
      </c>
      <c r="H10" t="s">
        <v>29</v>
      </c>
      <c r="I10">
        <f t="shared" si="10"/>
        <v>1</v>
      </c>
      <c r="J10" s="7">
        <f>(1-0.183868)</f>
        <v>0.81613199999999997</v>
      </c>
      <c r="K10" s="7">
        <f t="shared" si="2"/>
        <v>0.18386800000000003</v>
      </c>
      <c r="L10" t="str">
        <f t="shared" si="3"/>
        <v>Empat</v>
      </c>
      <c r="M10" s="7">
        <f t="shared" si="4"/>
        <v>9.6131999999999995E-2</v>
      </c>
      <c r="N10" s="7">
        <f t="shared" si="5"/>
        <v>0.72</v>
      </c>
      <c r="O10" s="7">
        <f t="shared" si="6"/>
        <v>0.28000000000000003</v>
      </c>
      <c r="P10" t="str">
        <f t="shared" si="7"/>
        <v>SHELTON vs. BOLT</v>
      </c>
      <c r="Q10" s="7">
        <f t="shared" si="8"/>
        <v>0.72</v>
      </c>
      <c r="R10">
        <f t="shared" si="9"/>
        <v>7.8400000000000011E-2</v>
      </c>
      <c r="U10" s="3" t="s">
        <v>259</v>
      </c>
      <c r="V10" s="4">
        <f>AVERAGE(R2:R65)</f>
        <v>0.24228281249999994</v>
      </c>
    </row>
    <row r="11" spans="1:22" ht="15" thickBot="1" x14ac:dyDescent="0.4">
      <c r="A11" t="s">
        <v>30</v>
      </c>
      <c r="B11" t="s">
        <v>31</v>
      </c>
      <c r="C11" s="2">
        <v>47</v>
      </c>
      <c r="D11" s="2">
        <v>53</v>
      </c>
      <c r="E11" t="s">
        <v>32</v>
      </c>
      <c r="F11" t="str">
        <f t="shared" si="0"/>
        <v>GOFFIN</v>
      </c>
      <c r="G11">
        <f t="shared" si="1"/>
        <v>0</v>
      </c>
      <c r="H11" t="s">
        <v>32</v>
      </c>
      <c r="I11">
        <f t="shared" si="10"/>
        <v>1</v>
      </c>
      <c r="J11" s="7">
        <f>(1-0.46723)</f>
        <v>0.53276999999999997</v>
      </c>
      <c r="K11" s="7">
        <f t="shared" si="2"/>
        <v>0.46723000000000003</v>
      </c>
      <c r="L11" t="str">
        <f t="shared" si="3"/>
        <v>Guanyem</v>
      </c>
      <c r="M11" s="7">
        <f t="shared" si="4"/>
        <v>6.2769999999999992E-2</v>
      </c>
      <c r="N11" s="7">
        <f t="shared" si="5"/>
        <v>0.47</v>
      </c>
      <c r="O11" s="7">
        <f t="shared" si="6"/>
        <v>0.53</v>
      </c>
      <c r="P11" t="str">
        <f t="shared" si="7"/>
        <v>HIJIKATA vs. GOFFIN</v>
      </c>
      <c r="Q11" s="7">
        <f t="shared" si="8"/>
        <v>0.53</v>
      </c>
      <c r="R11">
        <f t="shared" si="9"/>
        <v>0.28090000000000004</v>
      </c>
      <c r="U11" s="5" t="s">
        <v>260</v>
      </c>
      <c r="V11" s="16">
        <v>0.2387</v>
      </c>
    </row>
    <row r="12" spans="1:22" x14ac:dyDescent="0.35">
      <c r="A12" t="s">
        <v>33</v>
      </c>
      <c r="B12" t="s">
        <v>34</v>
      </c>
      <c r="C12" s="2">
        <v>56</v>
      </c>
      <c r="D12" s="2">
        <v>44</v>
      </c>
      <c r="E12" t="s">
        <v>35</v>
      </c>
      <c r="F12" t="str">
        <f t="shared" si="0"/>
        <v>KOVACEVIC</v>
      </c>
      <c r="G12">
        <f t="shared" si="1"/>
        <v>0</v>
      </c>
      <c r="H12" t="s">
        <v>35</v>
      </c>
      <c r="I12">
        <f t="shared" si="10"/>
        <v>1</v>
      </c>
      <c r="J12" s="7">
        <f>(1-0.669093)</f>
        <v>0.33090699999999995</v>
      </c>
      <c r="K12" s="7">
        <f t="shared" si="2"/>
        <v>0.66909300000000005</v>
      </c>
      <c r="L12" t="str">
        <f t="shared" si="3"/>
        <v>Guanyem</v>
      </c>
      <c r="M12" s="7">
        <f t="shared" si="4"/>
        <v>0.22909300000000005</v>
      </c>
      <c r="N12" s="7">
        <f t="shared" si="5"/>
        <v>0.56000000000000005</v>
      </c>
      <c r="O12" s="7">
        <f t="shared" si="6"/>
        <v>0.44</v>
      </c>
      <c r="P12" t="str">
        <f t="shared" si="7"/>
        <v>KOVACEVIC vs. FUCSOVICS</v>
      </c>
      <c r="Q12" s="7">
        <f t="shared" si="8"/>
        <v>0.56000000000000005</v>
      </c>
      <c r="R12">
        <f t="shared" si="9"/>
        <v>0.31360000000000005</v>
      </c>
    </row>
    <row r="13" spans="1:22" x14ac:dyDescent="0.35">
      <c r="A13" t="s">
        <v>36</v>
      </c>
      <c r="B13" t="s">
        <v>37</v>
      </c>
      <c r="C13" s="2">
        <v>47</v>
      </c>
      <c r="D13" s="2">
        <v>53</v>
      </c>
      <c r="E13" t="s">
        <v>38</v>
      </c>
      <c r="F13" t="str">
        <f t="shared" si="0"/>
        <v>HUMBERT</v>
      </c>
      <c r="G13">
        <f t="shared" si="1"/>
        <v>0</v>
      </c>
      <c r="H13" t="s">
        <v>228</v>
      </c>
      <c r="I13">
        <f t="shared" si="10"/>
        <v>0</v>
      </c>
      <c r="J13" s="7">
        <f>(1-0.676231)</f>
        <v>0.32376899999999997</v>
      </c>
      <c r="K13" s="7">
        <f t="shared" si="2"/>
        <v>0.67623100000000003</v>
      </c>
      <c r="L13" t="str">
        <f t="shared" si="3"/>
        <v>Empat</v>
      </c>
      <c r="M13" s="7">
        <f t="shared" si="4"/>
        <v>-0.146231</v>
      </c>
      <c r="N13" s="7">
        <f t="shared" si="5"/>
        <v>0.47</v>
      </c>
      <c r="O13" s="7">
        <f t="shared" si="6"/>
        <v>0.53</v>
      </c>
      <c r="P13" t="str">
        <f t="shared" si="7"/>
        <v>MONFILS vs. HUMBERT</v>
      </c>
      <c r="Q13" s="7">
        <f t="shared" si="8"/>
        <v>0.53</v>
      </c>
      <c r="R13">
        <f t="shared" si="9"/>
        <v>0.28090000000000004</v>
      </c>
      <c r="U13">
        <f>(42/64)*100</f>
        <v>65.625</v>
      </c>
      <c r="V13">
        <v>42</v>
      </c>
    </row>
    <row r="14" spans="1:22" x14ac:dyDescent="0.35">
      <c r="A14" t="s">
        <v>39</v>
      </c>
      <c r="B14" t="s">
        <v>40</v>
      </c>
      <c r="C14" s="2">
        <v>58</v>
      </c>
      <c r="D14" s="2">
        <v>42</v>
      </c>
      <c r="E14" t="s">
        <v>41</v>
      </c>
      <c r="F14" t="str">
        <f t="shared" si="0"/>
        <v>NAKASHIMA</v>
      </c>
      <c r="G14">
        <f t="shared" si="1"/>
        <v>1</v>
      </c>
      <c r="H14" t="s">
        <v>41</v>
      </c>
      <c r="I14">
        <f t="shared" si="10"/>
        <v>1</v>
      </c>
      <c r="J14" s="7">
        <f>(1-0.200857)</f>
        <v>0.79914299999999994</v>
      </c>
      <c r="K14" s="7">
        <f t="shared" si="2"/>
        <v>0.20085700000000006</v>
      </c>
      <c r="L14" t="str">
        <f t="shared" si="3"/>
        <v>Empat</v>
      </c>
      <c r="M14" s="7">
        <f t="shared" si="4"/>
        <v>0.21914299999999998</v>
      </c>
      <c r="N14" s="7">
        <f t="shared" si="5"/>
        <v>0.57999999999999996</v>
      </c>
      <c r="O14" s="7">
        <f t="shared" si="6"/>
        <v>0.42</v>
      </c>
      <c r="P14" t="str">
        <f t="shared" si="7"/>
        <v>NAKASHIMA vs. BU</v>
      </c>
      <c r="Q14" s="7">
        <f t="shared" si="8"/>
        <v>0.57999999999999996</v>
      </c>
      <c r="R14">
        <f t="shared" si="9"/>
        <v>0.17640000000000003</v>
      </c>
    </row>
    <row r="15" spans="1:22" x14ac:dyDescent="0.35">
      <c r="A15" t="s">
        <v>42</v>
      </c>
      <c r="B15" t="s">
        <v>43</v>
      </c>
      <c r="C15" s="2">
        <v>40</v>
      </c>
      <c r="D15" s="2">
        <v>60</v>
      </c>
      <c r="E15" t="s">
        <v>44</v>
      </c>
      <c r="F15" t="str">
        <f t="shared" si="0"/>
        <v>OPELKA</v>
      </c>
      <c r="G15">
        <f t="shared" si="1"/>
        <v>1</v>
      </c>
      <c r="H15" t="s">
        <v>44</v>
      </c>
      <c r="I15">
        <f t="shared" si="10"/>
        <v>1</v>
      </c>
      <c r="J15" s="7">
        <f>(1-0.738274)</f>
        <v>0.26172600000000001</v>
      </c>
      <c r="K15" s="7">
        <f t="shared" si="2"/>
        <v>0.73827399999999999</v>
      </c>
      <c r="L15" t="str">
        <f t="shared" si="3"/>
        <v>Empat</v>
      </c>
      <c r="M15" s="7">
        <f t="shared" si="4"/>
        <v>0.13827400000000001</v>
      </c>
      <c r="N15" s="7">
        <f t="shared" si="5"/>
        <v>0.4</v>
      </c>
      <c r="O15" s="7">
        <f t="shared" si="6"/>
        <v>0.6</v>
      </c>
      <c r="P15" t="str">
        <f t="shared" si="7"/>
        <v>SHEVCHENKO vs. OPELKA</v>
      </c>
      <c r="Q15" s="7">
        <f t="shared" si="8"/>
        <v>0.6</v>
      </c>
      <c r="R15">
        <f t="shared" si="9"/>
        <v>0.16000000000000003</v>
      </c>
    </row>
    <row r="16" spans="1:22" x14ac:dyDescent="0.35">
      <c r="A16" t="s">
        <v>45</v>
      </c>
      <c r="B16" t="s">
        <v>46</v>
      </c>
      <c r="C16" s="2">
        <v>39</v>
      </c>
      <c r="D16" s="2">
        <v>61</v>
      </c>
      <c r="E16" t="s">
        <v>47</v>
      </c>
      <c r="F16" t="str">
        <f t="shared" si="0"/>
        <v>SONEGO</v>
      </c>
      <c r="G16">
        <f t="shared" si="1"/>
        <v>1</v>
      </c>
      <c r="H16" t="s">
        <v>47</v>
      </c>
      <c r="I16">
        <f t="shared" si="10"/>
        <v>1</v>
      </c>
      <c r="J16" s="7">
        <v>0.16333500000000001</v>
      </c>
      <c r="K16" s="7">
        <f t="shared" si="2"/>
        <v>0.83666499999999999</v>
      </c>
      <c r="L16" t="str">
        <f t="shared" si="3"/>
        <v>Empat</v>
      </c>
      <c r="M16" s="7">
        <f t="shared" si="4"/>
        <v>0.22666500000000001</v>
      </c>
      <c r="N16" s="7">
        <f t="shared" si="5"/>
        <v>0.39</v>
      </c>
      <c r="O16" s="7">
        <f t="shared" si="6"/>
        <v>0.61</v>
      </c>
      <c r="P16" t="str">
        <f t="shared" si="7"/>
        <v>FARIA vs. SONEGO</v>
      </c>
      <c r="Q16" s="7">
        <f t="shared" si="8"/>
        <v>0.61</v>
      </c>
      <c r="R16">
        <f t="shared" si="9"/>
        <v>0.15210000000000001</v>
      </c>
    </row>
    <row r="17" spans="1:18" x14ac:dyDescent="0.35">
      <c r="A17" t="s">
        <v>48</v>
      </c>
      <c r="B17" t="s">
        <v>49</v>
      </c>
      <c r="C17" s="2">
        <v>16</v>
      </c>
      <c r="D17" s="2">
        <v>84</v>
      </c>
      <c r="E17" t="s">
        <v>50</v>
      </c>
      <c r="F17" t="str">
        <f t="shared" si="0"/>
        <v>MUSETTI</v>
      </c>
      <c r="G17">
        <f t="shared" si="1"/>
        <v>1</v>
      </c>
      <c r="H17" t="s">
        <v>230</v>
      </c>
      <c r="I17">
        <f t="shared" si="10"/>
        <v>0</v>
      </c>
      <c r="J17" s="7">
        <f>(1-0.238453)</f>
        <v>0.76154699999999997</v>
      </c>
      <c r="K17" s="7">
        <f t="shared" si="2"/>
        <v>0.23845300000000003</v>
      </c>
      <c r="L17" t="str">
        <f t="shared" si="3"/>
        <v>Perdem</v>
      </c>
      <c r="M17" s="7">
        <f t="shared" si="4"/>
        <v>-0.60154699999999994</v>
      </c>
      <c r="N17" s="7">
        <f t="shared" si="5"/>
        <v>0.16</v>
      </c>
      <c r="O17" s="7">
        <f t="shared" si="6"/>
        <v>0.84</v>
      </c>
      <c r="P17" t="str">
        <f t="shared" si="7"/>
        <v>BASILASHVILI vs. MUSETTI</v>
      </c>
      <c r="Q17" s="7">
        <f t="shared" si="8"/>
        <v>0.84</v>
      </c>
      <c r="R17">
        <f t="shared" si="9"/>
        <v>2.5600000000000012E-2</v>
      </c>
    </row>
    <row r="18" spans="1:18" x14ac:dyDescent="0.35">
      <c r="A18" t="s">
        <v>51</v>
      </c>
      <c r="B18" t="s">
        <v>52</v>
      </c>
      <c r="C18" s="2">
        <v>80</v>
      </c>
      <c r="D18" s="2">
        <v>20</v>
      </c>
      <c r="E18" t="s">
        <v>53</v>
      </c>
      <c r="F18" t="str">
        <f t="shared" si="0"/>
        <v>DRAPER</v>
      </c>
      <c r="G18">
        <f t="shared" si="1"/>
        <v>1</v>
      </c>
      <c r="H18" t="s">
        <v>53</v>
      </c>
      <c r="I18">
        <f t="shared" si="10"/>
        <v>1</v>
      </c>
      <c r="J18" s="7">
        <f>(1-0.005)</f>
        <v>0.995</v>
      </c>
      <c r="K18" s="7">
        <f t="shared" si="2"/>
        <v>5.0000000000000044E-3</v>
      </c>
      <c r="L18" t="str">
        <f t="shared" si="3"/>
        <v>Empat</v>
      </c>
      <c r="M18" s="7">
        <f t="shared" si="4"/>
        <v>0.19499999999999995</v>
      </c>
      <c r="N18" s="7">
        <f t="shared" si="5"/>
        <v>0.8</v>
      </c>
      <c r="O18" s="7">
        <f t="shared" si="6"/>
        <v>0.2</v>
      </c>
      <c r="P18" t="str">
        <f t="shared" si="7"/>
        <v>DRAPER vs. BAEZ</v>
      </c>
      <c r="Q18" s="7">
        <f t="shared" si="8"/>
        <v>0.8</v>
      </c>
      <c r="R18">
        <f t="shared" si="9"/>
        <v>3.999999999999998E-2</v>
      </c>
    </row>
    <row r="19" spans="1:18" x14ac:dyDescent="0.35">
      <c r="A19" t="s">
        <v>54</v>
      </c>
      <c r="B19" t="s">
        <v>55</v>
      </c>
      <c r="C19" s="2">
        <v>57</v>
      </c>
      <c r="D19" s="2">
        <v>43</v>
      </c>
      <c r="E19" t="s">
        <v>56</v>
      </c>
      <c r="F19" t="str">
        <f t="shared" si="0"/>
        <v>COLLIGNON</v>
      </c>
      <c r="G19">
        <f t="shared" si="1"/>
        <v>0</v>
      </c>
      <c r="H19" t="s">
        <v>56</v>
      </c>
      <c r="I19">
        <f t="shared" si="10"/>
        <v>1</v>
      </c>
      <c r="J19" s="7">
        <f>(1-0.898889)</f>
        <v>0.10111099999999995</v>
      </c>
      <c r="K19" s="7">
        <f t="shared" si="2"/>
        <v>0.89888900000000005</v>
      </c>
      <c r="L19" t="str">
        <f t="shared" si="3"/>
        <v>Guanyem</v>
      </c>
      <c r="M19" s="7">
        <f t="shared" si="4"/>
        <v>0.46888900000000006</v>
      </c>
      <c r="N19" s="7">
        <f t="shared" si="5"/>
        <v>0.56999999999999995</v>
      </c>
      <c r="O19" s="7">
        <f t="shared" si="6"/>
        <v>0.43</v>
      </c>
      <c r="P19" t="str">
        <f t="shared" si="7"/>
        <v>COLLIGNON vs. CILIC</v>
      </c>
      <c r="Q19" s="7">
        <f t="shared" si="8"/>
        <v>0.56999999999999995</v>
      </c>
      <c r="R19">
        <f t="shared" si="9"/>
        <v>0.32489999999999997</v>
      </c>
    </row>
    <row r="20" spans="1:18" x14ac:dyDescent="0.35">
      <c r="A20" t="s">
        <v>57</v>
      </c>
      <c r="B20" t="s">
        <v>58</v>
      </c>
      <c r="C20" s="2">
        <v>37</v>
      </c>
      <c r="D20" s="2">
        <v>63</v>
      </c>
      <c r="E20" t="s">
        <v>59</v>
      </c>
      <c r="F20" t="str">
        <f t="shared" si="0"/>
        <v>MAROZSAN</v>
      </c>
      <c r="G20">
        <f t="shared" si="1"/>
        <v>1</v>
      </c>
      <c r="H20" t="s">
        <v>59</v>
      </c>
      <c r="I20">
        <f t="shared" si="10"/>
        <v>1</v>
      </c>
      <c r="J20" s="7">
        <f>(1-0.68813)</f>
        <v>0.31186999999999998</v>
      </c>
      <c r="K20" s="7">
        <f t="shared" si="2"/>
        <v>0.68813000000000002</v>
      </c>
      <c r="L20" t="str">
        <f t="shared" si="3"/>
        <v>Empat</v>
      </c>
      <c r="M20" s="7">
        <f t="shared" si="4"/>
        <v>5.8130000000000015E-2</v>
      </c>
      <c r="N20" s="7">
        <f t="shared" si="5"/>
        <v>0.37</v>
      </c>
      <c r="O20" s="7">
        <f t="shared" si="6"/>
        <v>0.63</v>
      </c>
      <c r="P20" t="str">
        <f t="shared" si="7"/>
        <v>MCCABE vs. MAROZSAN</v>
      </c>
      <c r="Q20" s="7">
        <f t="shared" si="8"/>
        <v>0.63</v>
      </c>
      <c r="R20">
        <f t="shared" si="9"/>
        <v>0.13689999999999999</v>
      </c>
    </row>
    <row r="21" spans="1:18" x14ac:dyDescent="0.35">
      <c r="A21" t="s">
        <v>60</v>
      </c>
      <c r="B21" t="s">
        <v>61</v>
      </c>
      <c r="C21" s="2">
        <v>48</v>
      </c>
      <c r="D21" s="2">
        <v>52</v>
      </c>
      <c r="E21" t="s">
        <v>62</v>
      </c>
      <c r="F21" t="str">
        <f t="shared" si="0"/>
        <v>BUBLIK</v>
      </c>
      <c r="G21">
        <f t="shared" si="1"/>
        <v>0</v>
      </c>
      <c r="H21" t="s">
        <v>229</v>
      </c>
      <c r="I21">
        <f t="shared" si="10"/>
        <v>0</v>
      </c>
      <c r="J21" s="7">
        <f>(1-0.713091)</f>
        <v>0.28690899999999997</v>
      </c>
      <c r="K21" s="7">
        <f t="shared" si="2"/>
        <v>0.71309100000000003</v>
      </c>
      <c r="L21" t="str">
        <f t="shared" si="3"/>
        <v>Empat</v>
      </c>
      <c r="M21" s="7">
        <f t="shared" si="4"/>
        <v>-0.19309100000000001</v>
      </c>
      <c r="N21" s="7">
        <f t="shared" si="5"/>
        <v>0.48</v>
      </c>
      <c r="O21" s="7">
        <f t="shared" si="6"/>
        <v>0.52</v>
      </c>
      <c r="P21" t="str">
        <f t="shared" si="7"/>
        <v>MUNAR vs. BUBLIK</v>
      </c>
      <c r="Q21" s="7">
        <f t="shared" si="8"/>
        <v>0.52</v>
      </c>
      <c r="R21">
        <f t="shared" si="9"/>
        <v>0.27040000000000003</v>
      </c>
    </row>
    <row r="22" spans="1:18" x14ac:dyDescent="0.35">
      <c r="A22" t="s">
        <v>63</v>
      </c>
      <c r="B22" t="s">
        <v>64</v>
      </c>
      <c r="C22" s="2">
        <v>69</v>
      </c>
      <c r="D22" s="2">
        <v>31</v>
      </c>
      <c r="E22" t="s">
        <v>65</v>
      </c>
      <c r="F22" t="str">
        <f t="shared" si="0"/>
        <v>COBOLLI</v>
      </c>
      <c r="G22">
        <f t="shared" si="1"/>
        <v>1</v>
      </c>
      <c r="H22" t="s">
        <v>65</v>
      </c>
      <c r="I22">
        <f t="shared" si="10"/>
        <v>1</v>
      </c>
      <c r="J22" s="7">
        <v>0.70024500000000001</v>
      </c>
      <c r="K22" s="7">
        <f t="shared" si="2"/>
        <v>0.29975499999999999</v>
      </c>
      <c r="L22" t="str">
        <f t="shared" si="3"/>
        <v>Empat</v>
      </c>
      <c r="M22" s="7">
        <f t="shared" si="4"/>
        <v>1.024500000000006E-2</v>
      </c>
      <c r="N22" s="7">
        <f t="shared" si="5"/>
        <v>0.69</v>
      </c>
      <c r="O22" s="7">
        <f t="shared" si="6"/>
        <v>0.31</v>
      </c>
      <c r="P22" t="str">
        <f t="shared" si="7"/>
        <v>COBOLLI vs. ZHUKAYEV</v>
      </c>
      <c r="Q22" s="7">
        <f t="shared" si="8"/>
        <v>0.69</v>
      </c>
      <c r="R22">
        <f t="shared" si="9"/>
        <v>9.6100000000000033E-2</v>
      </c>
    </row>
    <row r="23" spans="1:18" x14ac:dyDescent="0.35">
      <c r="A23" t="s">
        <v>66</v>
      </c>
      <c r="B23" t="s">
        <v>67</v>
      </c>
      <c r="C23" s="2">
        <v>73</v>
      </c>
      <c r="D23" s="2">
        <v>27</v>
      </c>
      <c r="E23" t="s">
        <v>68</v>
      </c>
      <c r="F23" t="str">
        <f t="shared" si="0"/>
        <v>ETCHEVERRY</v>
      </c>
      <c r="G23">
        <f t="shared" si="1"/>
        <v>0</v>
      </c>
      <c r="H23" t="s">
        <v>223</v>
      </c>
      <c r="I23">
        <f t="shared" si="10"/>
        <v>0</v>
      </c>
      <c r="J23" s="7">
        <v>0.74445399999999995</v>
      </c>
      <c r="K23" s="7">
        <f t="shared" si="2"/>
        <v>0.25554600000000005</v>
      </c>
      <c r="L23" t="str">
        <f t="shared" si="3"/>
        <v>Empat</v>
      </c>
      <c r="M23" s="7">
        <f t="shared" si="4"/>
        <v>-1.4453999999999967E-2</v>
      </c>
      <c r="N23" s="7">
        <f t="shared" si="5"/>
        <v>0.73</v>
      </c>
      <c r="O23" s="7">
        <f t="shared" si="6"/>
        <v>0.27</v>
      </c>
      <c r="P23" t="str">
        <f t="shared" si="7"/>
        <v>ETCHEVERRY vs. PINNINGTON JONES</v>
      </c>
      <c r="Q23" s="7">
        <f t="shared" si="8"/>
        <v>0.73</v>
      </c>
      <c r="R23">
        <f t="shared" si="9"/>
        <v>0.53289999999999993</v>
      </c>
    </row>
    <row r="24" spans="1:18" x14ac:dyDescent="0.35">
      <c r="A24" t="s">
        <v>69</v>
      </c>
      <c r="B24" t="s">
        <v>70</v>
      </c>
      <c r="C24" s="2">
        <v>53</v>
      </c>
      <c r="D24" s="2">
        <v>47</v>
      </c>
      <c r="E24" t="s">
        <v>71</v>
      </c>
      <c r="F24" t="str">
        <f t="shared" si="0"/>
        <v>GIRON</v>
      </c>
      <c r="G24">
        <f t="shared" si="1"/>
        <v>1</v>
      </c>
      <c r="H24" t="s">
        <v>71</v>
      </c>
      <c r="I24">
        <f t="shared" si="10"/>
        <v>1</v>
      </c>
      <c r="J24" s="7">
        <v>0.89686600000000005</v>
      </c>
      <c r="K24" s="7">
        <f t="shared" si="2"/>
        <v>0.10313399999999995</v>
      </c>
      <c r="L24" t="str">
        <f t="shared" si="3"/>
        <v>Empat</v>
      </c>
      <c r="M24" s="7">
        <f t="shared" si="4"/>
        <v>0.36686600000000003</v>
      </c>
      <c r="N24" s="7">
        <f t="shared" si="5"/>
        <v>0.53</v>
      </c>
      <c r="O24" s="7">
        <f t="shared" si="6"/>
        <v>0.47</v>
      </c>
      <c r="P24" t="str">
        <f t="shared" si="7"/>
        <v>GIRON vs. UGO CARABELLI</v>
      </c>
      <c r="Q24" s="7">
        <f t="shared" si="8"/>
        <v>0.53</v>
      </c>
      <c r="R24">
        <f t="shared" si="9"/>
        <v>0.22089999999999999</v>
      </c>
    </row>
    <row r="25" spans="1:18" x14ac:dyDescent="0.35">
      <c r="A25" t="s">
        <v>72</v>
      </c>
      <c r="B25" t="s">
        <v>73</v>
      </c>
      <c r="C25" s="2">
        <v>35</v>
      </c>
      <c r="D25" s="2">
        <v>65</v>
      </c>
      <c r="E25" t="s">
        <v>74</v>
      </c>
      <c r="F25" t="str">
        <f t="shared" si="0"/>
        <v>MENSIK</v>
      </c>
      <c r="G25">
        <f t="shared" si="1"/>
        <v>1</v>
      </c>
      <c r="H25" t="s">
        <v>74</v>
      </c>
      <c r="I25">
        <f t="shared" si="10"/>
        <v>1</v>
      </c>
      <c r="J25" s="7">
        <v>6.1588999999999998E-2</v>
      </c>
      <c r="K25" s="7">
        <f t="shared" si="2"/>
        <v>0.938411</v>
      </c>
      <c r="L25" t="str">
        <f t="shared" si="3"/>
        <v>Empat</v>
      </c>
      <c r="M25" s="7">
        <f t="shared" si="4"/>
        <v>0.28841099999999997</v>
      </c>
      <c r="N25" s="7">
        <f t="shared" si="5"/>
        <v>0.35</v>
      </c>
      <c r="O25" s="7">
        <f t="shared" si="6"/>
        <v>0.65</v>
      </c>
      <c r="P25" t="str">
        <f t="shared" si="7"/>
        <v>GASTON vs. MENSIK</v>
      </c>
      <c r="Q25" s="7">
        <f t="shared" si="8"/>
        <v>0.65</v>
      </c>
      <c r="R25">
        <f t="shared" si="9"/>
        <v>0.12249999999999998</v>
      </c>
    </row>
    <row r="26" spans="1:18" x14ac:dyDescent="0.35">
      <c r="A26" t="s">
        <v>75</v>
      </c>
      <c r="B26" t="s">
        <v>76</v>
      </c>
      <c r="C26" s="2">
        <v>65</v>
      </c>
      <c r="D26" s="2">
        <v>35</v>
      </c>
      <c r="E26" t="s">
        <v>77</v>
      </c>
      <c r="F26" t="str">
        <f t="shared" si="0"/>
        <v>DE MINAUR</v>
      </c>
      <c r="G26">
        <f t="shared" si="1"/>
        <v>1</v>
      </c>
      <c r="H26" t="s">
        <v>77</v>
      </c>
      <c r="I26">
        <f t="shared" si="10"/>
        <v>1</v>
      </c>
      <c r="J26" s="7">
        <f>(1-0.051478)</f>
        <v>0.94852199999999998</v>
      </c>
      <c r="K26" s="7">
        <f t="shared" si="2"/>
        <v>5.1478000000000024E-2</v>
      </c>
      <c r="L26" t="str">
        <f t="shared" si="3"/>
        <v>Empat</v>
      </c>
      <c r="M26" s="7">
        <f t="shared" si="4"/>
        <v>0.29852199999999995</v>
      </c>
      <c r="N26" s="7">
        <f t="shared" si="5"/>
        <v>0.65</v>
      </c>
      <c r="O26" s="7">
        <f t="shared" si="6"/>
        <v>0.35</v>
      </c>
      <c r="P26" t="str">
        <f t="shared" si="7"/>
        <v>DE MINAUR vs. CARBALLES BAENA</v>
      </c>
      <c r="Q26" s="7">
        <f t="shared" si="8"/>
        <v>0.65</v>
      </c>
      <c r="R26">
        <f t="shared" si="9"/>
        <v>0.12249999999999998</v>
      </c>
    </row>
    <row r="27" spans="1:18" x14ac:dyDescent="0.35">
      <c r="A27" t="s">
        <v>78</v>
      </c>
      <c r="B27" t="s">
        <v>79</v>
      </c>
      <c r="C27" s="2">
        <v>54</v>
      </c>
      <c r="D27" s="2">
        <v>46</v>
      </c>
      <c r="E27" t="s">
        <v>80</v>
      </c>
      <c r="F27" t="str">
        <f t="shared" si="0"/>
        <v>CAZAUX</v>
      </c>
      <c r="G27">
        <f t="shared" si="1"/>
        <v>1</v>
      </c>
      <c r="H27" t="s">
        <v>80</v>
      </c>
      <c r="I27">
        <f t="shared" si="10"/>
        <v>1</v>
      </c>
      <c r="J27" s="7">
        <v>0.58135800000000004</v>
      </c>
      <c r="K27" s="7">
        <f t="shared" si="2"/>
        <v>0.41864199999999996</v>
      </c>
      <c r="L27" t="str">
        <f t="shared" si="3"/>
        <v>Empat</v>
      </c>
      <c r="M27" s="7">
        <f t="shared" si="4"/>
        <v>4.1358000000000006E-2</v>
      </c>
      <c r="N27" s="7">
        <f t="shared" si="5"/>
        <v>0.54</v>
      </c>
      <c r="O27" s="7">
        <f t="shared" si="6"/>
        <v>0.46</v>
      </c>
      <c r="P27" t="str">
        <f t="shared" si="7"/>
        <v>CAZAUX vs. WALTON</v>
      </c>
      <c r="Q27" s="7">
        <f t="shared" si="8"/>
        <v>0.54</v>
      </c>
      <c r="R27">
        <f t="shared" si="9"/>
        <v>0.21159999999999995</v>
      </c>
    </row>
    <row r="28" spans="1:18" x14ac:dyDescent="0.35">
      <c r="A28" t="s">
        <v>81</v>
      </c>
      <c r="B28" t="s">
        <v>82</v>
      </c>
      <c r="C28" s="2">
        <v>69</v>
      </c>
      <c r="D28" s="2">
        <v>31</v>
      </c>
      <c r="E28" t="s">
        <v>83</v>
      </c>
      <c r="F28" t="str">
        <f t="shared" si="0"/>
        <v>HALYS</v>
      </c>
      <c r="G28">
        <f t="shared" si="1"/>
        <v>0</v>
      </c>
      <c r="H28" t="s">
        <v>224</v>
      </c>
      <c r="I28">
        <f t="shared" si="10"/>
        <v>0</v>
      </c>
      <c r="J28" s="7">
        <v>0.81447899999999995</v>
      </c>
      <c r="K28" s="7">
        <f t="shared" si="2"/>
        <v>0.18552100000000005</v>
      </c>
      <c r="L28" t="str">
        <f t="shared" si="3"/>
        <v>Empat</v>
      </c>
      <c r="M28" s="7">
        <f t="shared" si="4"/>
        <v>-0.12447899999999995</v>
      </c>
      <c r="N28" s="7">
        <f t="shared" si="5"/>
        <v>0.69</v>
      </c>
      <c r="O28" s="7">
        <f t="shared" si="6"/>
        <v>0.31</v>
      </c>
      <c r="P28" t="str">
        <f t="shared" si="7"/>
        <v>HALYS vs. HOLMGREN</v>
      </c>
      <c r="Q28" s="7">
        <f t="shared" si="8"/>
        <v>0.69</v>
      </c>
      <c r="R28">
        <f t="shared" si="9"/>
        <v>0.47609999999999991</v>
      </c>
    </row>
    <row r="29" spans="1:18" x14ac:dyDescent="0.35">
      <c r="A29" t="s">
        <v>84</v>
      </c>
      <c r="B29" t="s">
        <v>85</v>
      </c>
      <c r="C29" s="2">
        <v>37</v>
      </c>
      <c r="D29" s="2">
        <v>63</v>
      </c>
      <c r="E29" t="s">
        <v>86</v>
      </c>
      <c r="F29" t="str">
        <f t="shared" si="0"/>
        <v>MACHAC</v>
      </c>
      <c r="G29">
        <f t="shared" si="1"/>
        <v>1</v>
      </c>
      <c r="H29" t="s">
        <v>86</v>
      </c>
      <c r="I29">
        <f t="shared" si="10"/>
        <v>1</v>
      </c>
      <c r="J29" s="7">
        <v>0.167744</v>
      </c>
      <c r="K29" s="7">
        <f t="shared" si="2"/>
        <v>0.832256</v>
      </c>
      <c r="L29" t="str">
        <f t="shared" si="3"/>
        <v>Empat</v>
      </c>
      <c r="M29" s="7">
        <f t="shared" si="4"/>
        <v>0.20225599999999999</v>
      </c>
      <c r="N29" s="7">
        <f t="shared" si="5"/>
        <v>0.37</v>
      </c>
      <c r="O29" s="7">
        <f t="shared" si="6"/>
        <v>0.63</v>
      </c>
      <c r="P29" t="str">
        <f t="shared" si="7"/>
        <v>DZUMHUR vs. MACHAC</v>
      </c>
      <c r="Q29" s="7">
        <f t="shared" si="8"/>
        <v>0.63</v>
      </c>
      <c r="R29">
        <f t="shared" si="9"/>
        <v>0.13689999999999999</v>
      </c>
    </row>
    <row r="30" spans="1:18" x14ac:dyDescent="0.35">
      <c r="A30" t="s">
        <v>87</v>
      </c>
      <c r="B30" t="s">
        <v>88</v>
      </c>
      <c r="C30" s="2">
        <v>51</v>
      </c>
      <c r="D30" s="2">
        <v>49</v>
      </c>
      <c r="E30" t="s">
        <v>89</v>
      </c>
      <c r="F30" t="str">
        <f t="shared" si="0"/>
        <v>MICHELSEN</v>
      </c>
      <c r="G30">
        <f t="shared" si="1"/>
        <v>0</v>
      </c>
      <c r="H30" t="s">
        <v>231</v>
      </c>
      <c r="I30">
        <f t="shared" si="10"/>
        <v>0</v>
      </c>
      <c r="J30" s="7">
        <f>(1-0.348643)</f>
        <v>0.65135699999999996</v>
      </c>
      <c r="K30" s="7">
        <f t="shared" si="2"/>
        <v>0.34864300000000004</v>
      </c>
      <c r="L30" t="str">
        <f t="shared" si="3"/>
        <v>Empat</v>
      </c>
      <c r="M30" s="7">
        <f t="shared" si="4"/>
        <v>-0.14135699999999995</v>
      </c>
      <c r="N30" s="7">
        <f t="shared" si="5"/>
        <v>0.51</v>
      </c>
      <c r="O30" s="7">
        <f t="shared" si="6"/>
        <v>0.49</v>
      </c>
      <c r="P30" t="str">
        <f t="shared" si="7"/>
        <v>MICHELSEN vs. KECMANOVIC</v>
      </c>
      <c r="Q30" s="7">
        <f t="shared" si="8"/>
        <v>0.51</v>
      </c>
      <c r="R30">
        <f t="shared" si="9"/>
        <v>0.2601</v>
      </c>
    </row>
    <row r="31" spans="1:18" x14ac:dyDescent="0.35">
      <c r="A31" t="s">
        <v>90</v>
      </c>
      <c r="B31" t="s">
        <v>91</v>
      </c>
      <c r="C31" s="2">
        <v>48</v>
      </c>
      <c r="D31" s="2">
        <v>52</v>
      </c>
      <c r="E31" t="s">
        <v>92</v>
      </c>
      <c r="F31" t="str">
        <f t="shared" si="0"/>
        <v>EUBANKS</v>
      </c>
      <c r="G31">
        <f t="shared" si="1"/>
        <v>0</v>
      </c>
      <c r="H31" t="s">
        <v>92</v>
      </c>
      <c r="I31">
        <f t="shared" si="10"/>
        <v>1</v>
      </c>
      <c r="J31" s="7">
        <v>0.61397100000000004</v>
      </c>
      <c r="K31" s="7">
        <f t="shared" si="2"/>
        <v>0.38602899999999996</v>
      </c>
      <c r="L31" t="str">
        <f t="shared" si="3"/>
        <v>Guanyem</v>
      </c>
      <c r="M31" s="7">
        <f t="shared" si="4"/>
        <v>0.13397100000000006</v>
      </c>
      <c r="N31" s="7">
        <f t="shared" si="5"/>
        <v>0.48</v>
      </c>
      <c r="O31" s="7">
        <f t="shared" si="6"/>
        <v>0.52</v>
      </c>
      <c r="P31" t="str">
        <f t="shared" si="7"/>
        <v>DE JONG vs. EUBANKS</v>
      </c>
      <c r="Q31" s="7">
        <f t="shared" si="8"/>
        <v>0.52</v>
      </c>
      <c r="R31">
        <f t="shared" si="9"/>
        <v>0.27040000000000003</v>
      </c>
    </row>
    <row r="32" spans="1:18" x14ac:dyDescent="0.35">
      <c r="A32" t="s">
        <v>93</v>
      </c>
      <c r="B32" t="s">
        <v>94</v>
      </c>
      <c r="C32" s="2">
        <v>52</v>
      </c>
      <c r="D32" s="2">
        <v>48</v>
      </c>
      <c r="E32" t="s">
        <v>95</v>
      </c>
      <c r="F32" t="str">
        <f t="shared" si="0"/>
        <v>EVANS</v>
      </c>
      <c r="G32">
        <f t="shared" si="1"/>
        <v>1</v>
      </c>
      <c r="H32" t="s">
        <v>95</v>
      </c>
      <c r="I32">
        <f t="shared" si="10"/>
        <v>1</v>
      </c>
      <c r="J32" s="7">
        <f>(1-0.106033)</f>
        <v>0.89396699999999996</v>
      </c>
      <c r="K32" s="7">
        <f t="shared" si="2"/>
        <v>0.10603300000000004</v>
      </c>
      <c r="L32" t="str">
        <f t="shared" si="3"/>
        <v>Empat</v>
      </c>
      <c r="M32" s="7">
        <f t="shared" si="4"/>
        <v>0.37396699999999994</v>
      </c>
      <c r="N32" s="7">
        <f t="shared" si="5"/>
        <v>0.52</v>
      </c>
      <c r="O32" s="7">
        <f t="shared" si="6"/>
        <v>0.48</v>
      </c>
      <c r="P32" t="str">
        <f t="shared" si="7"/>
        <v>EVANS vs. CLARKE</v>
      </c>
      <c r="Q32" s="7">
        <f t="shared" si="8"/>
        <v>0.52</v>
      </c>
      <c r="R32">
        <f t="shared" si="9"/>
        <v>0.23039999999999999</v>
      </c>
    </row>
    <row r="33" spans="1:18" x14ac:dyDescent="0.35">
      <c r="A33" t="s">
        <v>96</v>
      </c>
      <c r="B33" t="s">
        <v>97</v>
      </c>
      <c r="C33" s="2">
        <v>30</v>
      </c>
      <c r="D33" s="2">
        <v>70</v>
      </c>
      <c r="E33" t="s">
        <v>98</v>
      </c>
      <c r="F33" t="str">
        <f t="shared" si="0"/>
        <v>DJOKOVIC</v>
      </c>
      <c r="G33">
        <f t="shared" si="1"/>
        <v>1</v>
      </c>
      <c r="H33" t="s">
        <v>98</v>
      </c>
      <c r="I33">
        <f t="shared" si="10"/>
        <v>1</v>
      </c>
      <c r="J33" s="7">
        <f>(1-0.927884)</f>
        <v>7.2115999999999958E-2</v>
      </c>
      <c r="K33" s="7">
        <f t="shared" si="2"/>
        <v>0.92788400000000004</v>
      </c>
      <c r="L33" t="str">
        <f t="shared" si="3"/>
        <v>Empat</v>
      </c>
      <c r="M33" s="7">
        <f t="shared" si="4"/>
        <v>0.22788400000000009</v>
      </c>
      <c r="N33" s="7">
        <f t="shared" si="5"/>
        <v>0.3</v>
      </c>
      <c r="O33" s="7">
        <f t="shared" si="6"/>
        <v>0.7</v>
      </c>
      <c r="P33" t="str">
        <f t="shared" si="7"/>
        <v>MULLER vs. DJOKOVIC</v>
      </c>
      <c r="Q33" s="7">
        <f t="shared" si="8"/>
        <v>0.7</v>
      </c>
      <c r="R33">
        <f t="shared" si="9"/>
        <v>9.0000000000000024E-2</v>
      </c>
    </row>
    <row r="34" spans="1:18" x14ac:dyDescent="0.35">
      <c r="A34" t="s">
        <v>99</v>
      </c>
      <c r="B34" t="s">
        <v>100</v>
      </c>
      <c r="C34" s="2">
        <v>51</v>
      </c>
      <c r="D34" s="2">
        <v>49</v>
      </c>
      <c r="E34" t="s">
        <v>101</v>
      </c>
      <c r="F34" t="str">
        <f t="shared" si="0"/>
        <v>FRITZ</v>
      </c>
      <c r="G34">
        <f t="shared" si="1"/>
        <v>1</v>
      </c>
      <c r="H34" t="s">
        <v>101</v>
      </c>
      <c r="I34">
        <f t="shared" si="10"/>
        <v>1</v>
      </c>
      <c r="J34" s="7">
        <v>0.89076599999999995</v>
      </c>
      <c r="K34" s="7">
        <f t="shared" si="2"/>
        <v>0.10923400000000005</v>
      </c>
      <c r="L34" t="str">
        <f t="shared" si="3"/>
        <v>Empat</v>
      </c>
      <c r="M34" s="7">
        <f t="shared" si="4"/>
        <v>0.38076599999999994</v>
      </c>
      <c r="N34" s="7">
        <f t="shared" si="5"/>
        <v>0.51</v>
      </c>
      <c r="O34" s="7">
        <f t="shared" si="6"/>
        <v>0.49</v>
      </c>
      <c r="P34" t="str">
        <f t="shared" si="7"/>
        <v>FRITZ vs. MPETSHI PERRICARD</v>
      </c>
      <c r="Q34" s="7">
        <f t="shared" si="8"/>
        <v>0.51</v>
      </c>
      <c r="R34">
        <f t="shared" si="9"/>
        <v>0.24009999999999998</v>
      </c>
    </row>
    <row r="35" spans="1:18" x14ac:dyDescent="0.35">
      <c r="A35" t="s">
        <v>102</v>
      </c>
      <c r="B35" t="s">
        <v>103</v>
      </c>
      <c r="C35" s="2">
        <v>46</v>
      </c>
      <c r="D35" s="2">
        <v>54</v>
      </c>
      <c r="E35" t="s">
        <v>104</v>
      </c>
      <c r="F35" t="str">
        <f t="shared" si="0"/>
        <v>ALTMAIER</v>
      </c>
      <c r="G35">
        <f t="shared" si="1"/>
        <v>0</v>
      </c>
      <c r="H35" t="s">
        <v>104</v>
      </c>
      <c r="I35">
        <f t="shared" si="10"/>
        <v>1</v>
      </c>
      <c r="J35" s="7">
        <f>(1-0.206905)</f>
        <v>0.79309499999999999</v>
      </c>
      <c r="K35" s="7">
        <f t="shared" si="2"/>
        <v>0.20690500000000001</v>
      </c>
      <c r="L35" t="str">
        <f t="shared" si="3"/>
        <v>Guanyem</v>
      </c>
      <c r="M35" s="7">
        <f t="shared" si="4"/>
        <v>0.33309499999999997</v>
      </c>
      <c r="N35" s="7">
        <f t="shared" si="5"/>
        <v>0.46</v>
      </c>
      <c r="O35" s="7">
        <f t="shared" si="6"/>
        <v>0.54</v>
      </c>
      <c r="P35" t="str">
        <f t="shared" si="7"/>
        <v>DIALLO vs. ALTMAIER</v>
      </c>
      <c r="Q35" s="7">
        <f t="shared" si="8"/>
        <v>0.54</v>
      </c>
      <c r="R35">
        <f t="shared" si="9"/>
        <v>0.29160000000000003</v>
      </c>
    </row>
    <row r="36" spans="1:18" x14ac:dyDescent="0.35">
      <c r="A36" t="s">
        <v>105</v>
      </c>
      <c r="B36" t="s">
        <v>106</v>
      </c>
      <c r="C36" s="2">
        <v>60</v>
      </c>
      <c r="D36" s="2">
        <v>40</v>
      </c>
      <c r="E36" t="s">
        <v>107</v>
      </c>
      <c r="F36" t="str">
        <f t="shared" si="0"/>
        <v>ARNALDI</v>
      </c>
      <c r="G36">
        <f t="shared" si="1"/>
        <v>0</v>
      </c>
      <c r="H36" t="s">
        <v>232</v>
      </c>
      <c r="I36">
        <f t="shared" si="10"/>
        <v>0</v>
      </c>
      <c r="J36" s="7">
        <v>0.64820299999999997</v>
      </c>
      <c r="K36" s="7">
        <f t="shared" si="2"/>
        <v>0.35179700000000003</v>
      </c>
      <c r="L36" t="str">
        <f t="shared" si="3"/>
        <v>Empat</v>
      </c>
      <c r="M36" s="7">
        <f t="shared" si="4"/>
        <v>-4.8202999999999996E-2</v>
      </c>
      <c r="N36" s="7">
        <f t="shared" si="5"/>
        <v>0.6</v>
      </c>
      <c r="O36" s="7">
        <f t="shared" si="6"/>
        <v>0.4</v>
      </c>
      <c r="P36" t="str">
        <f t="shared" si="7"/>
        <v>ARNALDI vs. VAN DE ZANDSCHULP</v>
      </c>
      <c r="Q36" s="7">
        <f t="shared" si="8"/>
        <v>0.6</v>
      </c>
      <c r="R36">
        <f t="shared" si="9"/>
        <v>0.36</v>
      </c>
    </row>
    <row r="37" spans="1:18" x14ac:dyDescent="0.35">
      <c r="A37" t="s">
        <v>108</v>
      </c>
      <c r="B37" t="s">
        <v>109</v>
      </c>
      <c r="C37" s="2">
        <v>34</v>
      </c>
      <c r="D37" s="2">
        <v>66</v>
      </c>
      <c r="E37" t="s">
        <v>110</v>
      </c>
      <c r="F37" t="str">
        <f t="shared" si="0"/>
        <v>DAVIDOVICH FOKINA</v>
      </c>
      <c r="G37">
        <f t="shared" si="1"/>
        <v>1</v>
      </c>
      <c r="H37" t="s">
        <v>110</v>
      </c>
      <c r="I37">
        <f t="shared" si="10"/>
        <v>1</v>
      </c>
      <c r="J37" s="7">
        <f>(1-0.738274)</f>
        <v>0.26172600000000001</v>
      </c>
      <c r="K37" s="7">
        <f t="shared" si="2"/>
        <v>0.73827399999999999</v>
      </c>
      <c r="L37" t="str">
        <f t="shared" si="3"/>
        <v>Empat</v>
      </c>
      <c r="M37" s="7">
        <f t="shared" si="4"/>
        <v>7.8273999999999955E-2</v>
      </c>
      <c r="N37" s="7">
        <f t="shared" si="5"/>
        <v>0.34</v>
      </c>
      <c r="O37" s="7">
        <f t="shared" si="6"/>
        <v>0.66</v>
      </c>
      <c r="P37" t="str">
        <f t="shared" si="7"/>
        <v>HOLT vs. DAVIDOVICH FOKINA</v>
      </c>
      <c r="Q37" s="7">
        <f t="shared" si="8"/>
        <v>0.66</v>
      </c>
      <c r="R37">
        <f t="shared" si="9"/>
        <v>0.11559999999999998</v>
      </c>
    </row>
    <row r="38" spans="1:18" x14ac:dyDescent="0.35">
      <c r="A38" t="s">
        <v>111</v>
      </c>
      <c r="B38" t="s">
        <v>112</v>
      </c>
      <c r="C38" s="2">
        <v>76</v>
      </c>
      <c r="D38" s="2">
        <v>24</v>
      </c>
      <c r="E38" t="s">
        <v>113</v>
      </c>
      <c r="F38" t="str">
        <f t="shared" si="0"/>
        <v>POPYRIN</v>
      </c>
      <c r="G38">
        <f t="shared" si="1"/>
        <v>0</v>
      </c>
      <c r="H38" t="s">
        <v>211</v>
      </c>
      <c r="I38">
        <f t="shared" si="10"/>
        <v>0</v>
      </c>
      <c r="J38" s="7">
        <f>(1-0.246168)</f>
        <v>0.75383200000000006</v>
      </c>
      <c r="K38" s="7">
        <f t="shared" si="2"/>
        <v>0.24616799999999994</v>
      </c>
      <c r="L38" t="str">
        <f t="shared" si="3"/>
        <v>Empat</v>
      </c>
      <c r="M38" s="7">
        <f t="shared" si="4"/>
        <v>6.1679999999999513E-3</v>
      </c>
      <c r="N38" s="7">
        <f t="shared" si="5"/>
        <v>0.76</v>
      </c>
      <c r="O38" s="7">
        <f t="shared" si="6"/>
        <v>0.24</v>
      </c>
      <c r="P38" t="str">
        <f t="shared" si="7"/>
        <v>POPYRIN vs. FERY</v>
      </c>
      <c r="Q38" s="7">
        <f t="shared" si="8"/>
        <v>0.76</v>
      </c>
      <c r="R38">
        <f t="shared" si="9"/>
        <v>0.5776</v>
      </c>
    </row>
    <row r="39" spans="1:18" x14ac:dyDescent="0.35">
      <c r="A39" t="s">
        <v>114</v>
      </c>
      <c r="B39" t="s">
        <v>115</v>
      </c>
      <c r="C39" s="2">
        <v>56</v>
      </c>
      <c r="D39" s="2">
        <v>44</v>
      </c>
      <c r="E39" t="s">
        <v>116</v>
      </c>
      <c r="F39" t="str">
        <f t="shared" si="0"/>
        <v>DARDERI</v>
      </c>
      <c r="G39">
        <f t="shared" si="1"/>
        <v>1</v>
      </c>
      <c r="H39" t="s">
        <v>221</v>
      </c>
      <c r="I39">
        <f t="shared" si="10"/>
        <v>0</v>
      </c>
      <c r="J39" s="7">
        <v>0.21008499999999999</v>
      </c>
      <c r="K39" s="7">
        <f t="shared" si="2"/>
        <v>0.78991500000000003</v>
      </c>
      <c r="L39" t="str">
        <f t="shared" si="3"/>
        <v>Perdem</v>
      </c>
      <c r="M39" s="7">
        <f t="shared" si="4"/>
        <v>-0.34991500000000009</v>
      </c>
      <c r="N39" s="7">
        <f t="shared" si="5"/>
        <v>0.56000000000000005</v>
      </c>
      <c r="O39" s="7">
        <f t="shared" si="6"/>
        <v>0.44</v>
      </c>
      <c r="P39" t="str">
        <f t="shared" si="7"/>
        <v>DARDERI vs. SAFIULLIN</v>
      </c>
      <c r="Q39" s="7">
        <f t="shared" si="8"/>
        <v>0.56000000000000005</v>
      </c>
      <c r="R39">
        <f t="shared" si="9"/>
        <v>0.19359999999999997</v>
      </c>
    </row>
    <row r="40" spans="1:18" x14ac:dyDescent="0.35">
      <c r="A40" t="s">
        <v>117</v>
      </c>
      <c r="B40" t="s">
        <v>118</v>
      </c>
      <c r="C40" s="2">
        <v>48</v>
      </c>
      <c r="D40" s="2">
        <v>52</v>
      </c>
      <c r="E40" t="s">
        <v>119</v>
      </c>
      <c r="F40" t="str">
        <f t="shared" si="0"/>
        <v>THOMPSON</v>
      </c>
      <c r="G40">
        <f t="shared" si="1"/>
        <v>1</v>
      </c>
      <c r="H40" t="s">
        <v>119</v>
      </c>
      <c r="I40">
        <f t="shared" si="10"/>
        <v>1</v>
      </c>
      <c r="J40" s="7">
        <v>0.22357099999999999</v>
      </c>
      <c r="K40" s="7">
        <f t="shared" si="2"/>
        <v>0.77642900000000004</v>
      </c>
      <c r="L40" t="str">
        <f t="shared" si="3"/>
        <v>Empat</v>
      </c>
      <c r="M40" s="7">
        <f t="shared" si="4"/>
        <v>0.25642900000000002</v>
      </c>
      <c r="N40" s="7">
        <f t="shared" si="5"/>
        <v>0.48</v>
      </c>
      <c r="O40" s="7">
        <f t="shared" si="6"/>
        <v>0.52</v>
      </c>
      <c r="P40" t="str">
        <f t="shared" si="7"/>
        <v>KOPRIVA vs. THOMPSON</v>
      </c>
      <c r="Q40" s="7">
        <f t="shared" si="8"/>
        <v>0.52</v>
      </c>
      <c r="R40">
        <f t="shared" si="9"/>
        <v>0.23039999999999999</v>
      </c>
    </row>
    <row r="41" spans="1:18" x14ac:dyDescent="0.35">
      <c r="A41" t="s">
        <v>120</v>
      </c>
      <c r="B41" t="s">
        <v>121</v>
      </c>
      <c r="C41" s="2">
        <v>24</v>
      </c>
      <c r="D41" s="2">
        <v>76</v>
      </c>
      <c r="E41" t="s">
        <v>122</v>
      </c>
      <c r="F41" t="str">
        <f t="shared" si="0"/>
        <v>MEDVEDEV</v>
      </c>
      <c r="G41">
        <f t="shared" si="1"/>
        <v>0</v>
      </c>
      <c r="H41" t="s">
        <v>212</v>
      </c>
      <c r="I41">
        <f t="shared" si="10"/>
        <v>0</v>
      </c>
      <c r="J41" s="7">
        <v>9.2549999999999993E-3</v>
      </c>
      <c r="K41" s="7">
        <f t="shared" si="2"/>
        <v>0.99074499999999999</v>
      </c>
      <c r="L41" t="str">
        <f t="shared" si="3"/>
        <v>Empat</v>
      </c>
      <c r="M41" s="7">
        <f t="shared" si="4"/>
        <v>-0.23074499999999998</v>
      </c>
      <c r="N41" s="7">
        <f t="shared" si="5"/>
        <v>0.24</v>
      </c>
      <c r="O41" s="7">
        <f t="shared" si="6"/>
        <v>0.76</v>
      </c>
      <c r="P41" t="str">
        <f t="shared" si="7"/>
        <v>BONZI vs. MEDVEDEV</v>
      </c>
      <c r="Q41" s="7">
        <f t="shared" si="8"/>
        <v>0.76</v>
      </c>
      <c r="R41">
        <f t="shared" si="9"/>
        <v>0.5776</v>
      </c>
    </row>
    <row r="42" spans="1:18" x14ac:dyDescent="0.35">
      <c r="A42" t="s">
        <v>123</v>
      </c>
      <c r="B42" t="s">
        <v>124</v>
      </c>
      <c r="C42" s="2">
        <v>58</v>
      </c>
      <c r="D42" s="2">
        <v>42</v>
      </c>
      <c r="E42" t="s">
        <v>125</v>
      </c>
      <c r="F42" t="str">
        <f t="shared" si="0"/>
        <v>CERUNDOLO</v>
      </c>
      <c r="G42">
        <f t="shared" si="1"/>
        <v>0</v>
      </c>
      <c r="H42" t="s">
        <v>220</v>
      </c>
      <c r="I42">
        <f t="shared" si="10"/>
        <v>0</v>
      </c>
      <c r="J42" s="7">
        <f>(1-0.405323)</f>
        <v>0.59467700000000001</v>
      </c>
      <c r="K42" s="7">
        <f t="shared" si="2"/>
        <v>0.40532299999999999</v>
      </c>
      <c r="L42" t="str">
        <f t="shared" si="3"/>
        <v>Empat</v>
      </c>
      <c r="M42" s="7">
        <f t="shared" si="4"/>
        <v>-1.4676999999999996E-2</v>
      </c>
      <c r="N42" s="7">
        <f t="shared" si="5"/>
        <v>0.57999999999999996</v>
      </c>
      <c r="O42" s="7">
        <f t="shared" si="6"/>
        <v>0.42</v>
      </c>
      <c r="P42" t="str">
        <f t="shared" si="7"/>
        <v>CERUNDOLO vs. BORGES</v>
      </c>
      <c r="Q42" s="7">
        <f t="shared" si="8"/>
        <v>0.57999999999999996</v>
      </c>
      <c r="R42">
        <f t="shared" si="9"/>
        <v>0.33639999999999998</v>
      </c>
    </row>
    <row r="43" spans="1:18" x14ac:dyDescent="0.35">
      <c r="A43" t="s">
        <v>126</v>
      </c>
      <c r="B43" t="s">
        <v>127</v>
      </c>
      <c r="C43" s="2">
        <v>51</v>
      </c>
      <c r="D43" s="2">
        <v>49</v>
      </c>
      <c r="E43" t="s">
        <v>128</v>
      </c>
      <c r="F43" t="str">
        <f t="shared" si="0"/>
        <v>HARRIS</v>
      </c>
      <c r="G43">
        <f t="shared" si="1"/>
        <v>1</v>
      </c>
      <c r="H43" t="s">
        <v>128</v>
      </c>
      <c r="I43">
        <f t="shared" si="10"/>
        <v>1</v>
      </c>
      <c r="J43" s="7">
        <v>0.76670000000000005</v>
      </c>
      <c r="K43" s="7">
        <f t="shared" si="2"/>
        <v>0.23329999999999995</v>
      </c>
      <c r="L43" t="str">
        <f t="shared" si="3"/>
        <v>Empat</v>
      </c>
      <c r="M43" s="7">
        <f t="shared" si="4"/>
        <v>0.25670000000000004</v>
      </c>
      <c r="N43" s="7">
        <f t="shared" si="5"/>
        <v>0.51</v>
      </c>
      <c r="O43" s="7">
        <f t="shared" si="6"/>
        <v>0.49</v>
      </c>
      <c r="P43" t="str">
        <f t="shared" si="7"/>
        <v>HARRIS vs. LAJOVIC</v>
      </c>
      <c r="Q43" s="7">
        <f t="shared" si="8"/>
        <v>0.51</v>
      </c>
      <c r="R43">
        <f t="shared" si="9"/>
        <v>0.24009999999999998</v>
      </c>
    </row>
    <row r="44" spans="1:18" x14ac:dyDescent="0.35">
      <c r="A44" t="s">
        <v>129</v>
      </c>
      <c r="B44" t="s">
        <v>130</v>
      </c>
      <c r="C44" s="2">
        <v>69</v>
      </c>
      <c r="D44" s="2">
        <v>31</v>
      </c>
      <c r="E44" t="s">
        <v>131</v>
      </c>
      <c r="F44" t="str">
        <f t="shared" si="0"/>
        <v>MOCHIZUKI</v>
      </c>
      <c r="G44">
        <f t="shared" si="1"/>
        <v>1</v>
      </c>
      <c r="H44" t="s">
        <v>131</v>
      </c>
      <c r="I44">
        <f t="shared" si="10"/>
        <v>1</v>
      </c>
      <c r="J44" s="7">
        <v>0.70935099999999995</v>
      </c>
      <c r="K44" s="7">
        <f t="shared" si="2"/>
        <v>0.29064900000000005</v>
      </c>
      <c r="L44" t="str">
        <f t="shared" si="3"/>
        <v>Empat</v>
      </c>
      <c r="M44" s="7">
        <f t="shared" si="4"/>
        <v>1.9351000000000007E-2</v>
      </c>
      <c r="N44" s="7">
        <f t="shared" si="5"/>
        <v>0.69</v>
      </c>
      <c r="O44" s="7">
        <f t="shared" si="6"/>
        <v>0.31</v>
      </c>
      <c r="P44" t="str">
        <f t="shared" si="7"/>
        <v>MOCHIZUKI vs. ZEPPIERI</v>
      </c>
      <c r="Q44" s="7">
        <f t="shared" si="8"/>
        <v>0.69</v>
      </c>
      <c r="R44">
        <f t="shared" si="9"/>
        <v>9.6100000000000033E-2</v>
      </c>
    </row>
    <row r="45" spans="1:18" x14ac:dyDescent="0.35">
      <c r="A45" t="s">
        <v>132</v>
      </c>
      <c r="B45" t="s">
        <v>133</v>
      </c>
      <c r="C45" s="2">
        <v>35</v>
      </c>
      <c r="D45" s="2">
        <v>65</v>
      </c>
      <c r="E45" t="s">
        <v>134</v>
      </c>
      <c r="F45" t="str">
        <f t="shared" si="0"/>
        <v>KHACHANOV</v>
      </c>
      <c r="G45">
        <f t="shared" si="1"/>
        <v>1</v>
      </c>
      <c r="H45" t="s">
        <v>134</v>
      </c>
      <c r="I45">
        <f t="shared" si="10"/>
        <v>1</v>
      </c>
      <c r="J45" s="7">
        <f>(1-0.561618)</f>
        <v>0.43838200000000005</v>
      </c>
      <c r="K45" s="7">
        <f t="shared" si="2"/>
        <v>0.56161799999999995</v>
      </c>
      <c r="L45" t="str">
        <f t="shared" si="3"/>
        <v>Empat</v>
      </c>
      <c r="M45" s="7">
        <f t="shared" si="4"/>
        <v>-8.8382000000000072E-2</v>
      </c>
      <c r="N45" s="7">
        <f t="shared" si="5"/>
        <v>0.35</v>
      </c>
      <c r="O45" s="7">
        <f t="shared" si="6"/>
        <v>0.65</v>
      </c>
      <c r="P45" t="str">
        <f t="shared" si="7"/>
        <v>MCDONALD vs. KHACHANOV</v>
      </c>
      <c r="Q45" s="7">
        <f t="shared" si="8"/>
        <v>0.65</v>
      </c>
      <c r="R45">
        <f t="shared" si="9"/>
        <v>0.12249999999999998</v>
      </c>
    </row>
    <row r="46" spans="1:18" x14ac:dyDescent="0.35">
      <c r="A46" t="s">
        <v>135</v>
      </c>
      <c r="B46" t="s">
        <v>136</v>
      </c>
      <c r="C46" s="2">
        <v>64</v>
      </c>
      <c r="D46" s="2">
        <v>36</v>
      </c>
      <c r="E46" t="s">
        <v>137</v>
      </c>
      <c r="F46" t="str">
        <f t="shared" si="0"/>
        <v>BERRETTINI</v>
      </c>
      <c r="G46">
        <f t="shared" si="1"/>
        <v>0</v>
      </c>
      <c r="H46" t="s">
        <v>218</v>
      </c>
      <c r="I46">
        <f t="shared" si="10"/>
        <v>0</v>
      </c>
      <c r="J46" s="7">
        <v>0.85499899999999995</v>
      </c>
      <c r="K46" s="7">
        <f t="shared" si="2"/>
        <v>0.14500100000000005</v>
      </c>
      <c r="L46" t="str">
        <f t="shared" si="3"/>
        <v>Empat</v>
      </c>
      <c r="M46" s="7">
        <f t="shared" si="4"/>
        <v>-0.21499899999999994</v>
      </c>
      <c r="N46" s="7">
        <f t="shared" si="5"/>
        <v>0.64</v>
      </c>
      <c r="O46" s="7">
        <f t="shared" si="6"/>
        <v>0.36</v>
      </c>
      <c r="P46" t="str">
        <f t="shared" si="7"/>
        <v>BERRETTINI vs. MAJCHRZAK</v>
      </c>
      <c r="Q46" s="7">
        <f t="shared" si="8"/>
        <v>0.64</v>
      </c>
      <c r="R46">
        <f t="shared" si="9"/>
        <v>0.40960000000000002</v>
      </c>
    </row>
    <row r="47" spans="1:18" x14ac:dyDescent="0.35">
      <c r="A47" t="s">
        <v>138</v>
      </c>
      <c r="B47" t="s">
        <v>139</v>
      </c>
      <c r="C47" s="2">
        <v>75</v>
      </c>
      <c r="D47" s="2">
        <v>25</v>
      </c>
      <c r="E47" t="s">
        <v>140</v>
      </c>
      <c r="F47" t="str">
        <f t="shared" si="0"/>
        <v>QUINN</v>
      </c>
      <c r="G47">
        <f t="shared" si="1"/>
        <v>1</v>
      </c>
      <c r="H47" t="s">
        <v>140</v>
      </c>
      <c r="I47">
        <f t="shared" si="10"/>
        <v>1</v>
      </c>
      <c r="J47" s="7">
        <v>0.74376900000000001</v>
      </c>
      <c r="K47" s="7">
        <f t="shared" si="2"/>
        <v>0.25623099999999999</v>
      </c>
      <c r="L47" t="str">
        <f t="shared" si="3"/>
        <v>Empat</v>
      </c>
      <c r="M47" s="7">
        <f t="shared" si="4"/>
        <v>-6.2309999999999865E-3</v>
      </c>
      <c r="N47" s="7">
        <f t="shared" si="5"/>
        <v>0.75</v>
      </c>
      <c r="O47" s="7">
        <f t="shared" si="6"/>
        <v>0.25</v>
      </c>
      <c r="P47" t="str">
        <f t="shared" si="7"/>
        <v>QUINN vs. SEARLE</v>
      </c>
      <c r="Q47" s="7">
        <f t="shared" si="8"/>
        <v>0.75</v>
      </c>
      <c r="R47">
        <f t="shared" si="9"/>
        <v>6.25E-2</v>
      </c>
    </row>
    <row r="48" spans="1:18" x14ac:dyDescent="0.35">
      <c r="A48" t="s">
        <v>141</v>
      </c>
      <c r="B48" t="s">
        <v>142</v>
      </c>
      <c r="C48" s="2">
        <v>48</v>
      </c>
      <c r="D48" s="2">
        <v>52</v>
      </c>
      <c r="E48" t="s">
        <v>143</v>
      </c>
      <c r="F48" t="str">
        <f t="shared" si="0"/>
        <v>RODESCH</v>
      </c>
      <c r="G48">
        <f t="shared" si="1"/>
        <v>0</v>
      </c>
      <c r="H48" t="s">
        <v>143</v>
      </c>
      <c r="I48">
        <f t="shared" si="10"/>
        <v>1</v>
      </c>
      <c r="J48" s="7">
        <v>0.54134000000000004</v>
      </c>
      <c r="K48" s="7">
        <f t="shared" si="2"/>
        <v>0.45865999999999996</v>
      </c>
      <c r="L48" t="str">
        <f t="shared" si="3"/>
        <v>Guanyem</v>
      </c>
      <c r="M48" s="7">
        <f t="shared" si="4"/>
        <v>6.1340000000000061E-2</v>
      </c>
      <c r="N48" s="7">
        <f t="shared" si="5"/>
        <v>0.48</v>
      </c>
      <c r="O48" s="7">
        <f t="shared" si="6"/>
        <v>0.52</v>
      </c>
      <c r="P48" t="str">
        <f t="shared" si="7"/>
        <v>GARIN vs. RODESCH</v>
      </c>
      <c r="Q48" s="7">
        <f t="shared" si="8"/>
        <v>0.52</v>
      </c>
      <c r="R48">
        <f t="shared" si="9"/>
        <v>0.27040000000000003</v>
      </c>
    </row>
    <row r="49" spans="1:18" x14ac:dyDescent="0.35">
      <c r="A49" t="s">
        <v>144</v>
      </c>
      <c r="B49" t="s">
        <v>145</v>
      </c>
      <c r="C49" s="2">
        <v>23</v>
      </c>
      <c r="D49" s="2">
        <v>77</v>
      </c>
      <c r="E49" t="s">
        <v>146</v>
      </c>
      <c r="F49" t="str">
        <f t="shared" si="0"/>
        <v>ZVEREV</v>
      </c>
      <c r="G49">
        <f t="shared" si="1"/>
        <v>0</v>
      </c>
      <c r="H49" t="s">
        <v>219</v>
      </c>
      <c r="I49">
        <f t="shared" si="10"/>
        <v>0</v>
      </c>
      <c r="J49" s="7">
        <v>8.0236000000000002E-2</v>
      </c>
      <c r="K49" s="7">
        <f t="shared" si="2"/>
        <v>0.91976400000000003</v>
      </c>
      <c r="L49" t="str">
        <f t="shared" si="3"/>
        <v>Empat</v>
      </c>
      <c r="M49" s="7">
        <f t="shared" si="4"/>
        <v>-0.14976400000000001</v>
      </c>
      <c r="N49" s="7">
        <f t="shared" si="5"/>
        <v>0.23</v>
      </c>
      <c r="O49" s="7">
        <f t="shared" si="6"/>
        <v>0.77</v>
      </c>
      <c r="P49" t="str">
        <f t="shared" si="7"/>
        <v>RINDERKNECH vs. ZVEREV</v>
      </c>
      <c r="Q49" s="7">
        <f t="shared" si="8"/>
        <v>0.77</v>
      </c>
      <c r="R49">
        <f t="shared" si="9"/>
        <v>0.59289999999999998</v>
      </c>
    </row>
    <row r="50" spans="1:18" x14ac:dyDescent="0.35">
      <c r="A50" t="s">
        <v>147</v>
      </c>
      <c r="B50" t="s">
        <v>148</v>
      </c>
      <c r="C50" s="2">
        <v>87</v>
      </c>
      <c r="D50" s="2">
        <v>13</v>
      </c>
      <c r="E50" t="s">
        <v>149</v>
      </c>
      <c r="F50" t="str">
        <f t="shared" si="0"/>
        <v>RUNE</v>
      </c>
      <c r="G50">
        <f t="shared" si="1"/>
        <v>0</v>
      </c>
      <c r="H50" t="s">
        <v>213</v>
      </c>
      <c r="I50">
        <f t="shared" si="10"/>
        <v>0</v>
      </c>
      <c r="J50" s="7">
        <f>(1-0.21455)</f>
        <v>0.78544999999999998</v>
      </c>
      <c r="K50" s="7">
        <f t="shared" si="2"/>
        <v>0.21455000000000002</v>
      </c>
      <c r="L50" t="str">
        <f t="shared" si="3"/>
        <v>Empat</v>
      </c>
      <c r="M50" s="7">
        <f t="shared" si="4"/>
        <v>8.4550000000000014E-2</v>
      </c>
      <c r="N50" s="7">
        <f t="shared" si="5"/>
        <v>0.87</v>
      </c>
      <c r="O50" s="7">
        <f t="shared" si="6"/>
        <v>0.13</v>
      </c>
      <c r="P50" t="str">
        <f t="shared" si="7"/>
        <v>RUNE vs. JARRY</v>
      </c>
      <c r="Q50" s="7">
        <f t="shared" si="8"/>
        <v>0.87</v>
      </c>
      <c r="R50">
        <f t="shared" si="9"/>
        <v>0.75690000000000002</v>
      </c>
    </row>
    <row r="51" spans="1:18" x14ac:dyDescent="0.35">
      <c r="A51" t="s">
        <v>150</v>
      </c>
      <c r="B51" t="s">
        <v>151</v>
      </c>
      <c r="C51" s="2">
        <v>60</v>
      </c>
      <c r="D51" s="2">
        <v>40</v>
      </c>
      <c r="E51" t="s">
        <v>152</v>
      </c>
      <c r="F51" t="str">
        <f t="shared" si="0"/>
        <v>TIEN</v>
      </c>
      <c r="G51">
        <f t="shared" si="1"/>
        <v>1</v>
      </c>
      <c r="H51" t="s">
        <v>152</v>
      </c>
      <c r="I51">
        <f t="shared" si="10"/>
        <v>1</v>
      </c>
      <c r="J51" s="7">
        <f>(1-0.261875)</f>
        <v>0.73812499999999992</v>
      </c>
      <c r="K51" s="7">
        <f t="shared" si="2"/>
        <v>0.26187500000000008</v>
      </c>
      <c r="L51" t="str">
        <f t="shared" si="3"/>
        <v>Empat</v>
      </c>
      <c r="M51" s="7">
        <f t="shared" si="4"/>
        <v>0.13812499999999994</v>
      </c>
      <c r="N51" s="7">
        <f t="shared" si="5"/>
        <v>0.6</v>
      </c>
      <c r="O51" s="7">
        <f t="shared" si="6"/>
        <v>0.4</v>
      </c>
      <c r="P51" t="str">
        <f t="shared" si="7"/>
        <v>TIEN vs. BASAVAREDDY</v>
      </c>
      <c r="Q51" s="7">
        <f t="shared" si="8"/>
        <v>0.6</v>
      </c>
      <c r="R51">
        <f t="shared" si="9"/>
        <v>0.16000000000000003</v>
      </c>
    </row>
    <row r="52" spans="1:18" x14ac:dyDescent="0.35">
      <c r="A52" t="s">
        <v>153</v>
      </c>
      <c r="B52" t="s">
        <v>154</v>
      </c>
      <c r="C52" s="2">
        <v>37</v>
      </c>
      <c r="D52" s="2">
        <v>63</v>
      </c>
      <c r="E52" t="s">
        <v>155</v>
      </c>
      <c r="F52" t="str">
        <f t="shared" si="0"/>
        <v>FONSECA</v>
      </c>
      <c r="G52">
        <f t="shared" si="1"/>
        <v>1</v>
      </c>
      <c r="H52" t="s">
        <v>155</v>
      </c>
      <c r="I52">
        <f t="shared" si="10"/>
        <v>1</v>
      </c>
      <c r="J52" s="7">
        <f>(0.379632)</f>
        <v>0.37963200000000002</v>
      </c>
      <c r="K52" s="7">
        <f t="shared" si="2"/>
        <v>0.62036800000000003</v>
      </c>
      <c r="L52" t="str">
        <f t="shared" si="3"/>
        <v>Empat</v>
      </c>
      <c r="M52" s="7">
        <f t="shared" si="4"/>
        <v>-9.6319999999999739E-3</v>
      </c>
      <c r="N52" s="7">
        <f t="shared" si="5"/>
        <v>0.37</v>
      </c>
      <c r="O52" s="7">
        <f t="shared" si="6"/>
        <v>0.63</v>
      </c>
      <c r="P52" t="str">
        <f t="shared" si="7"/>
        <v>FEARNLEY vs. FONSECA</v>
      </c>
      <c r="Q52" s="7">
        <f t="shared" si="8"/>
        <v>0.63</v>
      </c>
      <c r="R52">
        <f t="shared" si="9"/>
        <v>0.13689999999999999</v>
      </c>
    </row>
    <row r="53" spans="1:18" x14ac:dyDescent="0.35">
      <c r="A53" t="s">
        <v>156</v>
      </c>
      <c r="B53" t="s">
        <v>157</v>
      </c>
      <c r="C53" s="2">
        <v>35</v>
      </c>
      <c r="D53" s="2">
        <v>65</v>
      </c>
      <c r="E53" t="s">
        <v>158</v>
      </c>
      <c r="F53" t="str">
        <f t="shared" si="0"/>
        <v>GRIEKSPOOR</v>
      </c>
      <c r="G53">
        <f t="shared" si="1"/>
        <v>0</v>
      </c>
      <c r="H53" t="s">
        <v>214</v>
      </c>
      <c r="I53">
        <f t="shared" si="10"/>
        <v>0</v>
      </c>
      <c r="J53" s="7">
        <v>0.29709400000000002</v>
      </c>
      <c r="K53" s="7">
        <f t="shared" si="2"/>
        <v>0.70290600000000003</v>
      </c>
      <c r="L53" t="str">
        <f t="shared" si="3"/>
        <v>Empat</v>
      </c>
      <c r="M53" s="7">
        <f t="shared" si="4"/>
        <v>-5.2905999999999953E-2</v>
      </c>
      <c r="N53" s="7">
        <f t="shared" si="5"/>
        <v>0.35</v>
      </c>
      <c r="O53" s="7">
        <f t="shared" si="6"/>
        <v>0.65</v>
      </c>
      <c r="P53" t="str">
        <f t="shared" si="7"/>
        <v>BROOKSBY vs. GRIEKSPOOR</v>
      </c>
      <c r="Q53" s="7">
        <f t="shared" si="8"/>
        <v>0.65</v>
      </c>
      <c r="R53">
        <f t="shared" si="9"/>
        <v>0.42250000000000004</v>
      </c>
    </row>
    <row r="54" spans="1:18" x14ac:dyDescent="0.35">
      <c r="A54" t="s">
        <v>159</v>
      </c>
      <c r="B54" t="s">
        <v>160</v>
      </c>
      <c r="C54" s="2">
        <v>59</v>
      </c>
      <c r="D54" s="2">
        <v>41</v>
      </c>
      <c r="E54" t="s">
        <v>161</v>
      </c>
      <c r="F54" t="str">
        <f t="shared" si="0"/>
        <v>LEHECKA</v>
      </c>
      <c r="G54">
        <f t="shared" si="1"/>
        <v>1</v>
      </c>
      <c r="H54" t="s">
        <v>161</v>
      </c>
      <c r="I54">
        <f t="shared" si="10"/>
        <v>1</v>
      </c>
      <c r="J54" s="7">
        <f>(1-0.005)</f>
        <v>0.995</v>
      </c>
      <c r="K54" s="7">
        <f t="shared" si="2"/>
        <v>5.0000000000000044E-3</v>
      </c>
      <c r="L54" t="str">
        <f t="shared" si="3"/>
        <v>Empat</v>
      </c>
      <c r="M54" s="7">
        <f t="shared" si="4"/>
        <v>0.40500000000000003</v>
      </c>
      <c r="N54" s="7">
        <f t="shared" si="5"/>
        <v>0.59</v>
      </c>
      <c r="O54" s="7">
        <f t="shared" si="6"/>
        <v>0.41</v>
      </c>
      <c r="P54" t="str">
        <f t="shared" si="7"/>
        <v>LEHECKA vs. DELLIEN</v>
      </c>
      <c r="Q54" s="7">
        <f t="shared" si="8"/>
        <v>0.59</v>
      </c>
      <c r="R54">
        <f t="shared" si="9"/>
        <v>0.16810000000000003</v>
      </c>
    </row>
    <row r="55" spans="1:18" x14ac:dyDescent="0.35">
      <c r="A55" t="s">
        <v>162</v>
      </c>
      <c r="B55" t="s">
        <v>163</v>
      </c>
      <c r="C55" s="2">
        <v>71</v>
      </c>
      <c r="D55" s="2">
        <v>29</v>
      </c>
      <c r="E55" t="s">
        <v>164</v>
      </c>
      <c r="F55" t="str">
        <f t="shared" si="0"/>
        <v>BELLUCCI</v>
      </c>
      <c r="G55">
        <f t="shared" si="1"/>
        <v>1</v>
      </c>
      <c r="H55" t="s">
        <v>164</v>
      </c>
      <c r="I55">
        <f t="shared" si="10"/>
        <v>1</v>
      </c>
      <c r="J55" s="7">
        <v>0.63293999999999995</v>
      </c>
      <c r="K55" s="7">
        <f t="shared" si="2"/>
        <v>0.36706000000000005</v>
      </c>
      <c r="L55" t="str">
        <f t="shared" si="3"/>
        <v>Empat</v>
      </c>
      <c r="M55" s="7">
        <f t="shared" si="4"/>
        <v>-7.7060000000000017E-2</v>
      </c>
      <c r="N55" s="7">
        <f t="shared" si="5"/>
        <v>0.71</v>
      </c>
      <c r="O55" s="7">
        <f t="shared" si="6"/>
        <v>0.28999999999999998</v>
      </c>
      <c r="P55" t="str">
        <f t="shared" si="7"/>
        <v>BELLUCCI vs. CRAWFORD</v>
      </c>
      <c r="Q55" s="7">
        <f t="shared" si="8"/>
        <v>0.71</v>
      </c>
      <c r="R55">
        <f t="shared" si="9"/>
        <v>8.4100000000000022E-2</v>
      </c>
    </row>
    <row r="56" spans="1:18" x14ac:dyDescent="0.35">
      <c r="A56" t="s">
        <v>165</v>
      </c>
      <c r="B56" t="s">
        <v>166</v>
      </c>
      <c r="C56" s="2">
        <v>54</v>
      </c>
      <c r="D56" s="2">
        <v>46</v>
      </c>
      <c r="E56" t="s">
        <v>167</v>
      </c>
      <c r="F56" t="str">
        <f t="shared" si="0"/>
        <v>NORRIE</v>
      </c>
      <c r="G56">
        <f t="shared" si="1"/>
        <v>1</v>
      </c>
      <c r="H56" t="s">
        <v>222</v>
      </c>
      <c r="I56">
        <f t="shared" si="10"/>
        <v>0</v>
      </c>
      <c r="J56" s="7">
        <f>(1-0.596858)</f>
        <v>0.403142</v>
      </c>
      <c r="K56" s="7">
        <f t="shared" si="2"/>
        <v>0.596858</v>
      </c>
      <c r="L56" t="str">
        <f t="shared" si="3"/>
        <v>Perdem</v>
      </c>
      <c r="M56" s="7">
        <f t="shared" si="4"/>
        <v>-0.13685800000000004</v>
      </c>
      <c r="N56" s="7">
        <f t="shared" si="5"/>
        <v>0.54</v>
      </c>
      <c r="O56" s="7">
        <f t="shared" si="6"/>
        <v>0.46</v>
      </c>
      <c r="P56" t="str">
        <f t="shared" si="7"/>
        <v>NORRIE vs. BAUTISTA AGUT</v>
      </c>
      <c r="Q56" s="7">
        <f t="shared" si="8"/>
        <v>0.54</v>
      </c>
      <c r="R56">
        <f t="shared" si="9"/>
        <v>0.21159999999999995</v>
      </c>
    </row>
    <row r="57" spans="1:18" x14ac:dyDescent="0.35">
      <c r="A57" t="s">
        <v>168</v>
      </c>
      <c r="B57" t="s">
        <v>169</v>
      </c>
      <c r="C57" s="2">
        <v>31</v>
      </c>
      <c r="D57" s="2">
        <v>69</v>
      </c>
      <c r="E57" t="s">
        <v>170</v>
      </c>
      <c r="F57" t="str">
        <f t="shared" si="0"/>
        <v>TIAFOE</v>
      </c>
      <c r="G57">
        <f t="shared" si="1"/>
        <v>1</v>
      </c>
      <c r="H57" t="s">
        <v>170</v>
      </c>
      <c r="I57">
        <f t="shared" si="10"/>
        <v>1</v>
      </c>
      <c r="J57" s="7">
        <v>3.1477999999999999E-2</v>
      </c>
      <c r="K57" s="7">
        <f t="shared" si="2"/>
        <v>0.96852199999999999</v>
      </c>
      <c r="L57" t="str">
        <f t="shared" si="3"/>
        <v>Empat</v>
      </c>
      <c r="M57" s="7">
        <f t="shared" si="4"/>
        <v>0.27852200000000005</v>
      </c>
      <c r="N57" s="7">
        <f t="shared" si="5"/>
        <v>0.31</v>
      </c>
      <c r="O57" s="7">
        <f t="shared" si="6"/>
        <v>0.69</v>
      </c>
      <c r="P57" t="str">
        <f t="shared" si="7"/>
        <v>MOLLER vs. TIAFOE</v>
      </c>
      <c r="Q57" s="7">
        <f t="shared" si="8"/>
        <v>0.69</v>
      </c>
      <c r="R57">
        <f t="shared" si="9"/>
        <v>9.6100000000000033E-2</v>
      </c>
    </row>
    <row r="58" spans="1:18" x14ac:dyDescent="0.35">
      <c r="A58" t="s">
        <v>171</v>
      </c>
      <c r="B58" t="s">
        <v>172</v>
      </c>
      <c r="C58" s="2">
        <v>62</v>
      </c>
      <c r="D58" s="2">
        <v>38</v>
      </c>
      <c r="E58" t="s">
        <v>173</v>
      </c>
      <c r="F58" t="str">
        <f t="shared" si="0"/>
        <v>RUBLEV</v>
      </c>
      <c r="G58">
        <f t="shared" si="1"/>
        <v>1</v>
      </c>
      <c r="H58" t="s">
        <v>173</v>
      </c>
      <c r="I58">
        <f t="shared" si="10"/>
        <v>1</v>
      </c>
      <c r="J58" s="7">
        <f>(1-0.375822)</f>
        <v>0.62417800000000001</v>
      </c>
      <c r="K58" s="7">
        <f t="shared" si="2"/>
        <v>0.37582199999999999</v>
      </c>
      <c r="L58" t="str">
        <f t="shared" si="3"/>
        <v>Empat</v>
      </c>
      <c r="M58" s="7">
        <f t="shared" si="4"/>
        <v>4.178000000000015E-3</v>
      </c>
      <c r="N58" s="7">
        <f t="shared" si="5"/>
        <v>0.62</v>
      </c>
      <c r="O58" s="7">
        <f t="shared" si="6"/>
        <v>0.38</v>
      </c>
      <c r="P58" t="str">
        <f t="shared" si="7"/>
        <v>RUBLEV vs. DJERE</v>
      </c>
      <c r="Q58" s="7">
        <f t="shared" si="8"/>
        <v>0.62</v>
      </c>
      <c r="R58">
        <f t="shared" si="9"/>
        <v>0.1444</v>
      </c>
    </row>
    <row r="59" spans="1:18" x14ac:dyDescent="0.35">
      <c r="A59" t="s">
        <v>174</v>
      </c>
      <c r="B59" t="s">
        <v>175</v>
      </c>
      <c r="C59" s="2">
        <v>73</v>
      </c>
      <c r="D59" s="2">
        <v>27</v>
      </c>
      <c r="E59" t="s">
        <v>128</v>
      </c>
      <c r="F59" t="str">
        <f t="shared" si="0"/>
        <v>BERGS</v>
      </c>
      <c r="G59">
        <f t="shared" si="1"/>
        <v>0</v>
      </c>
      <c r="H59" t="s">
        <v>215</v>
      </c>
      <c r="I59">
        <f t="shared" si="10"/>
        <v>0</v>
      </c>
      <c r="J59" s="7">
        <v>0.69083300000000003</v>
      </c>
      <c r="K59" s="7">
        <f t="shared" si="2"/>
        <v>0.30916699999999997</v>
      </c>
      <c r="L59" t="str">
        <f t="shared" si="3"/>
        <v>Empat</v>
      </c>
      <c r="M59" s="7">
        <f t="shared" si="4"/>
        <v>3.9166999999999952E-2</v>
      </c>
      <c r="N59" s="7">
        <f t="shared" si="5"/>
        <v>0.73</v>
      </c>
      <c r="O59" s="7">
        <f t="shared" si="6"/>
        <v>0.27</v>
      </c>
      <c r="P59" t="str">
        <f t="shared" si="7"/>
        <v>BERGS vs. HARRIS</v>
      </c>
      <c r="Q59" s="7">
        <f t="shared" si="8"/>
        <v>0.73</v>
      </c>
      <c r="R59">
        <f t="shared" si="9"/>
        <v>0.53289999999999993</v>
      </c>
    </row>
    <row r="60" spans="1:18" x14ac:dyDescent="0.35">
      <c r="A60" t="s">
        <v>176</v>
      </c>
      <c r="B60" t="s">
        <v>177</v>
      </c>
      <c r="C60" s="2">
        <v>42</v>
      </c>
      <c r="D60" s="2">
        <v>58</v>
      </c>
      <c r="E60" t="s">
        <v>178</v>
      </c>
      <c r="F60" t="str">
        <f t="shared" si="0"/>
        <v>O'CONNELL</v>
      </c>
      <c r="G60">
        <f t="shared" si="1"/>
        <v>0</v>
      </c>
      <c r="H60" t="s">
        <v>178</v>
      </c>
      <c r="I60">
        <f t="shared" si="10"/>
        <v>1</v>
      </c>
      <c r="J60" s="7">
        <v>0.670242</v>
      </c>
      <c r="K60" s="7">
        <f t="shared" si="2"/>
        <v>0.329758</v>
      </c>
      <c r="L60" t="str">
        <f t="shared" si="3"/>
        <v>Guanyem</v>
      </c>
      <c r="M60" s="7">
        <f t="shared" si="4"/>
        <v>0.25024200000000002</v>
      </c>
      <c r="N60" s="7">
        <f t="shared" si="5"/>
        <v>0.42</v>
      </c>
      <c r="O60" s="7">
        <f t="shared" si="6"/>
        <v>0.57999999999999996</v>
      </c>
      <c r="P60" t="str">
        <f t="shared" si="7"/>
        <v>MANNARINO vs. O'CONNELL</v>
      </c>
      <c r="Q60" s="7">
        <f t="shared" si="8"/>
        <v>0.57999999999999996</v>
      </c>
      <c r="R60">
        <f t="shared" si="9"/>
        <v>0.33639999999999998</v>
      </c>
    </row>
    <row r="61" spans="1:18" x14ac:dyDescent="0.35">
      <c r="A61" t="s">
        <v>179</v>
      </c>
      <c r="B61" t="s">
        <v>180</v>
      </c>
      <c r="C61" s="2">
        <v>38</v>
      </c>
      <c r="D61" s="2">
        <v>62</v>
      </c>
      <c r="E61" t="s">
        <v>181</v>
      </c>
      <c r="F61" t="str">
        <f t="shared" si="0"/>
        <v>TSITSIPAS</v>
      </c>
      <c r="G61">
        <f t="shared" si="1"/>
        <v>0</v>
      </c>
      <c r="H61" t="s">
        <v>216</v>
      </c>
      <c r="I61">
        <f t="shared" si="10"/>
        <v>0</v>
      </c>
      <c r="J61" s="7">
        <v>0.24232100000000001</v>
      </c>
      <c r="K61" s="7">
        <f t="shared" si="2"/>
        <v>0.75767899999999999</v>
      </c>
      <c r="L61" t="str">
        <f t="shared" si="3"/>
        <v>Empat</v>
      </c>
      <c r="M61" s="7">
        <f t="shared" si="4"/>
        <v>-0.137679</v>
      </c>
      <c r="N61" s="7">
        <f t="shared" si="5"/>
        <v>0.38</v>
      </c>
      <c r="O61" s="7">
        <f t="shared" si="6"/>
        <v>0.62</v>
      </c>
      <c r="P61" t="str">
        <f t="shared" si="7"/>
        <v>ROYER vs. TSITSIPAS</v>
      </c>
      <c r="Q61" s="7">
        <f t="shared" si="8"/>
        <v>0.62</v>
      </c>
      <c r="R61">
        <f t="shared" si="9"/>
        <v>0.38440000000000002</v>
      </c>
    </row>
    <row r="62" spans="1:18" x14ac:dyDescent="0.35">
      <c r="A62" t="s">
        <v>182</v>
      </c>
      <c r="B62" t="s">
        <v>183</v>
      </c>
      <c r="C62" s="2">
        <v>69</v>
      </c>
      <c r="D62" s="2">
        <v>31</v>
      </c>
      <c r="E62" t="s">
        <v>184</v>
      </c>
      <c r="F62" t="str">
        <f t="shared" si="0"/>
        <v>AUGER-ALIASSIME</v>
      </c>
      <c r="G62">
        <f t="shared" si="1"/>
        <v>1</v>
      </c>
      <c r="H62" t="s">
        <v>184</v>
      </c>
      <c r="I62">
        <f t="shared" si="10"/>
        <v>1</v>
      </c>
      <c r="J62" s="7">
        <v>0.70440599999999998</v>
      </c>
      <c r="K62" s="7">
        <f t="shared" si="2"/>
        <v>0.29559400000000002</v>
      </c>
      <c r="L62" t="str">
        <f t="shared" si="3"/>
        <v>Empat</v>
      </c>
      <c r="M62" s="7">
        <f t="shared" si="4"/>
        <v>1.440600000000003E-2</v>
      </c>
      <c r="N62" s="7">
        <f t="shared" si="5"/>
        <v>0.69</v>
      </c>
      <c r="O62" s="7">
        <f t="shared" si="6"/>
        <v>0.31</v>
      </c>
      <c r="P62" t="str">
        <f t="shared" si="7"/>
        <v>AUGER-ALIASSIME vs. DUCKWORTH</v>
      </c>
      <c r="Q62" s="7">
        <f t="shared" si="8"/>
        <v>0.69</v>
      </c>
      <c r="R62">
        <f t="shared" si="9"/>
        <v>9.6100000000000033E-2</v>
      </c>
    </row>
    <row r="63" spans="1:18" x14ac:dyDescent="0.35">
      <c r="A63" t="s">
        <v>185</v>
      </c>
      <c r="B63" t="s">
        <v>186</v>
      </c>
      <c r="C63" s="2">
        <v>42</v>
      </c>
      <c r="D63" s="2">
        <v>58</v>
      </c>
      <c r="E63" t="s">
        <v>187</v>
      </c>
      <c r="F63" t="str">
        <f t="shared" si="0"/>
        <v>MISOLIC</v>
      </c>
      <c r="G63">
        <f t="shared" si="1"/>
        <v>0</v>
      </c>
      <c r="H63" t="s">
        <v>187</v>
      </c>
      <c r="I63">
        <f t="shared" si="10"/>
        <v>1</v>
      </c>
      <c r="J63" s="7">
        <f>(0.251329)</f>
        <v>0.25132900000000002</v>
      </c>
      <c r="K63" s="7">
        <f t="shared" si="2"/>
        <v>0.74867099999999998</v>
      </c>
      <c r="L63" t="str">
        <f t="shared" si="3"/>
        <v>Guanyem</v>
      </c>
      <c r="M63" s="7">
        <f t="shared" si="4"/>
        <v>-0.16867099999999996</v>
      </c>
      <c r="N63" s="7">
        <f t="shared" si="5"/>
        <v>0.42</v>
      </c>
      <c r="O63" s="7">
        <f t="shared" si="6"/>
        <v>0.57999999999999996</v>
      </c>
      <c r="P63" t="str">
        <f t="shared" si="7"/>
        <v>STRUFF vs. MISOLIC</v>
      </c>
      <c r="Q63" s="7">
        <f t="shared" si="8"/>
        <v>0.57999999999999996</v>
      </c>
      <c r="R63">
        <f t="shared" si="9"/>
        <v>0.33639999999999998</v>
      </c>
    </row>
    <row r="64" spans="1:18" x14ac:dyDescent="0.35">
      <c r="A64" t="s">
        <v>188</v>
      </c>
      <c r="B64" t="s">
        <v>189</v>
      </c>
      <c r="C64" s="2">
        <v>46</v>
      </c>
      <c r="D64" s="2">
        <v>54</v>
      </c>
      <c r="E64" t="s">
        <v>190</v>
      </c>
      <c r="F64" t="str">
        <f t="shared" si="0"/>
        <v>RIEDI</v>
      </c>
      <c r="G64">
        <f t="shared" si="1"/>
        <v>0</v>
      </c>
      <c r="H64" t="s">
        <v>217</v>
      </c>
      <c r="I64">
        <f t="shared" si="10"/>
        <v>0</v>
      </c>
      <c r="J64" s="7">
        <f>(1-0.57688)</f>
        <v>0.42312000000000005</v>
      </c>
      <c r="K64" s="7">
        <f t="shared" si="2"/>
        <v>0.57687999999999995</v>
      </c>
      <c r="L64" t="str">
        <f t="shared" si="3"/>
        <v>Empat</v>
      </c>
      <c r="M64" s="7">
        <f t="shared" si="4"/>
        <v>-3.6879999999999968E-2</v>
      </c>
      <c r="N64" s="7">
        <f t="shared" si="5"/>
        <v>0.46</v>
      </c>
      <c r="O64" s="7">
        <f t="shared" si="6"/>
        <v>0.54</v>
      </c>
      <c r="P64" t="str">
        <f t="shared" si="7"/>
        <v>TARVET vs. RIEDI</v>
      </c>
      <c r="Q64" s="7">
        <f t="shared" si="8"/>
        <v>0.54</v>
      </c>
      <c r="R64">
        <f t="shared" si="9"/>
        <v>0.29160000000000003</v>
      </c>
    </row>
    <row r="65" spans="1:18" x14ac:dyDescent="0.35">
      <c r="A65" t="s">
        <v>191</v>
      </c>
      <c r="B65" t="s">
        <v>192</v>
      </c>
      <c r="C65" s="2">
        <v>13</v>
      </c>
      <c r="D65" s="2">
        <v>87</v>
      </c>
      <c r="E65" t="s">
        <v>193</v>
      </c>
      <c r="F65" t="str">
        <f t="shared" si="0"/>
        <v>ALCARAZ</v>
      </c>
      <c r="G65">
        <f t="shared" si="1"/>
        <v>1</v>
      </c>
      <c r="H65" t="s">
        <v>193</v>
      </c>
      <c r="I65">
        <f t="shared" si="10"/>
        <v>1</v>
      </c>
      <c r="J65" s="7">
        <f>(1-0.928853)</f>
        <v>7.114699999999996E-2</v>
      </c>
      <c r="K65" s="7">
        <f t="shared" si="2"/>
        <v>0.92885300000000004</v>
      </c>
      <c r="L65" t="str">
        <f t="shared" si="3"/>
        <v>Empat</v>
      </c>
      <c r="M65" s="7">
        <f t="shared" si="4"/>
        <v>5.8853000000000044E-2</v>
      </c>
      <c r="N65" s="7">
        <f t="shared" si="5"/>
        <v>0.13</v>
      </c>
      <c r="O65" s="7">
        <f t="shared" si="6"/>
        <v>0.87</v>
      </c>
      <c r="P65" t="str">
        <f t="shared" si="7"/>
        <v>FOGNINI vs. ALCARAZ</v>
      </c>
      <c r="Q65" s="7">
        <f t="shared" si="8"/>
        <v>0.87</v>
      </c>
      <c r="R65">
        <f t="shared" si="9"/>
        <v>1.6900000000000002E-2</v>
      </c>
    </row>
  </sheetData>
  <autoFilter ref="A1:G65" xr:uid="{733616C7-25F8-4522-B3D0-0114E321248B}"/>
  <conditionalFormatting sqref="G1:G1048576 H1:Q1">
    <cfRule type="cellIs" dxfId="70" priority="7" operator="equal">
      <formula>0</formula>
    </cfRule>
    <cfRule type="cellIs" dxfId="69" priority="8" operator="equal">
      <formula>1</formula>
    </cfRule>
  </conditionalFormatting>
  <conditionalFormatting sqref="I2:I65">
    <cfRule type="cellIs" dxfId="68" priority="5" operator="equal">
      <formula>0</formula>
    </cfRule>
    <cfRule type="cellIs" dxfId="67" priority="6" operator="equal">
      <formula>1</formula>
    </cfRule>
  </conditionalFormatting>
  <conditionalFormatting sqref="L2:L65">
    <cfRule type="containsText" dxfId="66" priority="2" operator="containsText" text="Perdem">
      <formula>NOT(ISERROR(SEARCH("Perdem",L2)))</formula>
    </cfRule>
    <cfRule type="containsText" dxfId="65" priority="3" operator="containsText" text="Guanyem">
      <formula>NOT(ISERROR(SEARCH("Guanyem",L2)))</formula>
    </cfRule>
    <cfRule type="containsText" dxfId="64" priority="4" operator="containsText" text="Empat">
      <formula>NOT(ISERROR(SEARCH("Empat",L2)))</formula>
    </cfRule>
  </conditionalFormatting>
  <conditionalFormatting sqref="M2:M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8E2B-B98F-49D5-BB7C-817B60D20F6A}">
  <dimension ref="A1:V33"/>
  <sheetViews>
    <sheetView topLeftCell="J1" zoomScale="70" zoomScaleNormal="70" workbookViewId="0">
      <pane ySplit="1" topLeftCell="A2" activePane="bottomLeft" state="frozen"/>
      <selection pane="bottomLeft" activeCell="V9" sqref="V9"/>
    </sheetView>
  </sheetViews>
  <sheetFormatPr defaultColWidth="8.81640625" defaultRowHeight="14.5" x14ac:dyDescent="0.35"/>
  <cols>
    <col min="1" max="1" width="24" bestFit="1" customWidth="1"/>
    <col min="2" max="2" width="26.90625" bestFit="1" customWidth="1"/>
    <col min="3" max="4" width="14.26953125" bestFit="1" customWidth="1"/>
    <col min="5" max="6" width="18.1796875" bestFit="1" customWidth="1"/>
    <col min="7" max="7" width="10.90625" bestFit="1" customWidth="1"/>
    <col min="8" max="8" width="18.1796875" bestFit="1" customWidth="1"/>
    <col min="9" max="9" width="8.7265625" customWidth="1"/>
    <col min="10" max="11" width="22.54296875" bestFit="1" customWidth="1"/>
    <col min="12" max="12" width="25.81640625" bestFit="1" customWidth="1"/>
    <col min="13" max="13" width="14.90625" bestFit="1" customWidth="1"/>
    <col min="14" max="15" width="15.6328125" bestFit="1" customWidth="1"/>
    <col min="16" max="16" width="39.453125" bestFit="1" customWidth="1"/>
    <col min="21" max="21" width="13.81640625" bestFit="1" customWidth="1"/>
  </cols>
  <sheetData>
    <row r="1" spans="1:22" s="1" customFormat="1" ht="15" thickBot="1" x14ac:dyDescent="0.4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240</v>
      </c>
      <c r="H1" s="1" t="s">
        <v>209</v>
      </c>
      <c r="I1" s="1" t="s">
        <v>241</v>
      </c>
      <c r="J1" s="1" t="s">
        <v>235</v>
      </c>
      <c r="K1" s="1" t="s">
        <v>236</v>
      </c>
      <c r="L1" s="1" t="s">
        <v>233</v>
      </c>
      <c r="M1" s="1" t="s">
        <v>234</v>
      </c>
      <c r="N1" s="1" t="s">
        <v>237</v>
      </c>
      <c r="O1" s="1" t="s">
        <v>238</v>
      </c>
      <c r="P1" s="1" t="s">
        <v>239</v>
      </c>
      <c r="Q1" s="1" t="s">
        <v>256</v>
      </c>
      <c r="R1" s="15" t="s">
        <v>257</v>
      </c>
    </row>
    <row r="2" spans="1:22" x14ac:dyDescent="0.35">
      <c r="A2" t="s">
        <v>182</v>
      </c>
      <c r="B2" t="s">
        <v>185</v>
      </c>
      <c r="C2">
        <v>72</v>
      </c>
      <c r="D2">
        <v>28</v>
      </c>
      <c r="E2" t="s">
        <v>187</v>
      </c>
      <c r="F2" t="str">
        <f t="shared" ref="F2:H33" si="0">LEFT(IF(C2&gt;D2, A2, B2), FIND(",", IF(C2&gt;D2, A2, B2)) - 1)</f>
        <v>AUGER-ALIASSIME</v>
      </c>
      <c r="G2">
        <f t="shared" ref="G2:G33" si="1">IF(F2=E2, 1, 0)</f>
        <v>0</v>
      </c>
      <c r="H2" t="s">
        <v>184</v>
      </c>
      <c r="I2">
        <f>IF(H2=E2, 1, 0)</f>
        <v>0</v>
      </c>
      <c r="J2" s="7">
        <v>0.69422300000000003</v>
      </c>
      <c r="K2" s="7">
        <f>1-J2</f>
        <v>0.30577699999999997</v>
      </c>
      <c r="L2" t="str">
        <f>IF(G2=I2, "Empat", IF(I2=1, "Guanyem", "Perdem"))</f>
        <v>Empat</v>
      </c>
      <c r="M2" s="7">
        <f>IF(ISNUMBER(SEARCH(E2, A2)), J2-(C2/100), K2-(D2/100))</f>
        <v>2.5776999999999939E-2</v>
      </c>
      <c r="N2" s="7">
        <f t="shared" ref="N2:O33" si="2">C2/100</f>
        <v>0.72</v>
      </c>
      <c r="O2" s="7">
        <f t="shared" si="2"/>
        <v>0.28000000000000003</v>
      </c>
      <c r="P2" t="str">
        <f t="shared" ref="P2:P33" si="3">_xlfn.TEXTBEFORE(A2, ",") &amp; " vs. " &amp; _xlfn.TEXTBEFORE(B2, ",")</f>
        <v>AUGER-ALIASSIME vs. STRUFF</v>
      </c>
      <c r="Q2" s="7">
        <f>IF(N2&gt;O2, N2, O2)</f>
        <v>0.72</v>
      </c>
      <c r="R2">
        <f>(Q2-G2)^2</f>
        <v>0.51839999999999997</v>
      </c>
      <c r="U2" s="3" t="s">
        <v>199</v>
      </c>
      <c r="V2" s="4">
        <v>22</v>
      </c>
    </row>
    <row r="3" spans="1:22" ht="15" thickBot="1" x14ac:dyDescent="0.4">
      <c r="A3" t="s">
        <v>124</v>
      </c>
      <c r="B3" t="s">
        <v>126</v>
      </c>
      <c r="C3">
        <v>66</v>
      </c>
      <c r="D3">
        <v>34</v>
      </c>
      <c r="E3" t="s">
        <v>125</v>
      </c>
      <c r="F3" t="str">
        <f t="shared" si="0"/>
        <v>BORGES</v>
      </c>
      <c r="G3">
        <f t="shared" si="1"/>
        <v>1</v>
      </c>
      <c r="H3" t="s">
        <v>125</v>
      </c>
      <c r="I3">
        <f t="shared" ref="I3:I33" si="4">IF(H3=E3, 1, 0)</f>
        <v>1</v>
      </c>
      <c r="J3" s="7">
        <v>0.65856000000000003</v>
      </c>
      <c r="K3" s="7">
        <f t="shared" ref="K3:K33" si="5">1-J3</f>
        <v>0.34143999999999997</v>
      </c>
      <c r="L3" t="str">
        <f t="shared" ref="L3:L33" si="6">IF(G3=I3, "Empat", IF(I3=1, "Guanyem", "Perdem"))</f>
        <v>Empat</v>
      </c>
      <c r="M3" s="7">
        <f t="shared" ref="M3:M33" si="7">IF(ISNUMBER(SEARCH(E3, A3)), J3-(C3/100), K3-(D3/100))</f>
        <v>-1.4399999999999968E-3</v>
      </c>
      <c r="N3" s="7">
        <f t="shared" si="2"/>
        <v>0.66</v>
      </c>
      <c r="O3" s="7">
        <f t="shared" si="2"/>
        <v>0.34</v>
      </c>
      <c r="P3" t="str">
        <f t="shared" si="3"/>
        <v>BORGES vs. HARRIS</v>
      </c>
      <c r="Q3" s="7">
        <f t="shared" ref="Q3:Q33" si="8">IF(N3&gt;O3, N3, O3)</f>
        <v>0.66</v>
      </c>
      <c r="R3">
        <f t="shared" ref="R3:R33" si="9">(Q3-G3)^2</f>
        <v>0.11559999999999998</v>
      </c>
      <c r="U3" s="5" t="s">
        <v>200</v>
      </c>
      <c r="V3" s="6">
        <f>22/32</f>
        <v>0.6875</v>
      </c>
    </row>
    <row r="4" spans="1:22" ht="15" thickBot="1" x14ac:dyDescent="0.4">
      <c r="A4" t="s">
        <v>63</v>
      </c>
      <c r="B4" t="s">
        <v>67</v>
      </c>
      <c r="C4">
        <v>75</v>
      </c>
      <c r="D4">
        <v>25</v>
      </c>
      <c r="E4" t="s">
        <v>65</v>
      </c>
      <c r="F4" t="str">
        <f t="shared" si="0"/>
        <v>COBOLLI</v>
      </c>
      <c r="G4">
        <f t="shared" si="1"/>
        <v>1</v>
      </c>
      <c r="H4" t="s">
        <v>65</v>
      </c>
      <c r="I4">
        <f t="shared" si="4"/>
        <v>1</v>
      </c>
      <c r="J4" s="7">
        <v>0.74198200000000003</v>
      </c>
      <c r="K4" s="7">
        <f t="shared" si="5"/>
        <v>0.25801799999999997</v>
      </c>
      <c r="L4" t="str">
        <f t="shared" si="6"/>
        <v>Empat</v>
      </c>
      <c r="M4" s="7">
        <f t="shared" si="7"/>
        <v>-8.0179999999999696E-3</v>
      </c>
      <c r="N4" s="7">
        <f t="shared" si="2"/>
        <v>0.75</v>
      </c>
      <c r="O4" s="7">
        <f t="shared" si="2"/>
        <v>0.25</v>
      </c>
      <c r="P4" t="str">
        <f t="shared" si="3"/>
        <v>COBOLLI vs. PINNINGTON JONES</v>
      </c>
      <c r="Q4" s="7">
        <f t="shared" si="8"/>
        <v>0.75</v>
      </c>
      <c r="R4">
        <f t="shared" si="9"/>
        <v>6.25E-2</v>
      </c>
      <c r="U4" s="5" t="s">
        <v>201</v>
      </c>
      <c r="V4" s="6">
        <f>27/32</f>
        <v>0.84375</v>
      </c>
    </row>
    <row r="5" spans="1:22" ht="15" thickBot="1" x14ac:dyDescent="0.4">
      <c r="A5" t="s">
        <v>75</v>
      </c>
      <c r="B5" t="s">
        <v>78</v>
      </c>
      <c r="C5">
        <v>68</v>
      </c>
      <c r="D5">
        <v>32</v>
      </c>
      <c r="E5" t="s">
        <v>77</v>
      </c>
      <c r="F5" t="str">
        <f t="shared" si="0"/>
        <v>DE MINAUR</v>
      </c>
      <c r="G5">
        <f t="shared" si="1"/>
        <v>1</v>
      </c>
      <c r="H5" t="s">
        <v>77</v>
      </c>
      <c r="I5">
        <f t="shared" si="4"/>
        <v>1</v>
      </c>
      <c r="J5" s="7">
        <f>1-0.037538</f>
        <v>0.96246200000000004</v>
      </c>
      <c r="K5" s="7">
        <f t="shared" si="5"/>
        <v>3.753799999999996E-2</v>
      </c>
      <c r="L5" t="str">
        <f t="shared" si="6"/>
        <v>Empat</v>
      </c>
      <c r="M5" s="7">
        <f t="shared" si="7"/>
        <v>0.28246199999999999</v>
      </c>
      <c r="N5" s="7">
        <f t="shared" si="2"/>
        <v>0.68</v>
      </c>
      <c r="O5" s="7">
        <f t="shared" si="2"/>
        <v>0.32</v>
      </c>
      <c r="P5" t="str">
        <f t="shared" si="3"/>
        <v>DE MINAUR vs. CAZAUX</v>
      </c>
      <c r="Q5" s="7">
        <f t="shared" si="8"/>
        <v>0.68</v>
      </c>
      <c r="R5">
        <f t="shared" si="9"/>
        <v>0.10239999999999996</v>
      </c>
      <c r="U5" s="5" t="s">
        <v>206</v>
      </c>
      <c r="V5" s="6">
        <f>23/32</f>
        <v>0.71875</v>
      </c>
    </row>
    <row r="6" spans="1:22" ht="15" thickBot="1" x14ac:dyDescent="0.4">
      <c r="A6" t="s">
        <v>15</v>
      </c>
      <c r="B6" t="s">
        <v>19</v>
      </c>
      <c r="C6">
        <v>53</v>
      </c>
      <c r="D6">
        <v>47</v>
      </c>
      <c r="E6" t="s">
        <v>17</v>
      </c>
      <c r="F6" t="str">
        <f t="shared" si="0"/>
        <v>DIMITROV</v>
      </c>
      <c r="G6">
        <f t="shared" si="1"/>
        <v>1</v>
      </c>
      <c r="H6" t="s">
        <v>17</v>
      </c>
      <c r="I6">
        <f t="shared" si="4"/>
        <v>1</v>
      </c>
      <c r="J6" s="7">
        <v>0.63892800000000005</v>
      </c>
      <c r="K6" s="7">
        <f t="shared" si="5"/>
        <v>0.36107199999999995</v>
      </c>
      <c r="L6" t="str">
        <f t="shared" si="6"/>
        <v>Empat</v>
      </c>
      <c r="M6" s="7">
        <f t="shared" si="7"/>
        <v>0.10892800000000002</v>
      </c>
      <c r="N6" s="7">
        <f t="shared" si="2"/>
        <v>0.53</v>
      </c>
      <c r="O6" s="7">
        <f t="shared" si="2"/>
        <v>0.47</v>
      </c>
      <c r="P6" t="str">
        <f t="shared" si="3"/>
        <v>DIMITROV vs. MOUTET</v>
      </c>
      <c r="Q6" s="7">
        <f t="shared" si="8"/>
        <v>0.53</v>
      </c>
      <c r="R6">
        <f t="shared" si="9"/>
        <v>0.22089999999999999</v>
      </c>
      <c r="U6" s="5" t="s">
        <v>208</v>
      </c>
      <c r="V6" s="6">
        <f>22/32</f>
        <v>0.6875</v>
      </c>
    </row>
    <row r="7" spans="1:22" x14ac:dyDescent="0.35">
      <c r="A7" t="s">
        <v>51</v>
      </c>
      <c r="B7" t="s">
        <v>55</v>
      </c>
      <c r="C7">
        <v>85</v>
      </c>
      <c r="D7">
        <v>15</v>
      </c>
      <c r="E7" t="s">
        <v>56</v>
      </c>
      <c r="F7" t="str">
        <f t="shared" si="0"/>
        <v>DRAPER</v>
      </c>
      <c r="G7">
        <f t="shared" si="1"/>
        <v>0</v>
      </c>
      <c r="H7" t="s">
        <v>53</v>
      </c>
      <c r="I7">
        <f t="shared" si="4"/>
        <v>0</v>
      </c>
      <c r="J7" s="7">
        <f>(1-0.170706)</f>
        <v>0.82929399999999998</v>
      </c>
      <c r="K7" s="7">
        <f t="shared" si="5"/>
        <v>0.17070600000000002</v>
      </c>
      <c r="L7" t="str">
        <f t="shared" si="6"/>
        <v>Empat</v>
      </c>
      <c r="M7" s="7">
        <f t="shared" si="7"/>
        <v>2.070600000000003E-2</v>
      </c>
      <c r="N7" s="7">
        <f t="shared" si="2"/>
        <v>0.85</v>
      </c>
      <c r="O7" s="7">
        <f t="shared" si="2"/>
        <v>0.15</v>
      </c>
      <c r="P7" t="str">
        <f t="shared" si="3"/>
        <v>DRAPER vs. CILIC</v>
      </c>
      <c r="Q7" s="7">
        <f t="shared" si="8"/>
        <v>0.85</v>
      </c>
      <c r="R7">
        <f t="shared" si="9"/>
        <v>0.72249999999999992</v>
      </c>
    </row>
    <row r="8" spans="1:22" ht="15" thickBot="1" x14ac:dyDescent="0.4">
      <c r="A8" t="s">
        <v>93</v>
      </c>
      <c r="B8" t="s">
        <v>97</v>
      </c>
      <c r="C8">
        <v>13</v>
      </c>
      <c r="D8">
        <v>87</v>
      </c>
      <c r="E8" t="s">
        <v>98</v>
      </c>
      <c r="F8" t="str">
        <f t="shared" si="0"/>
        <v>DJOKOVIC</v>
      </c>
      <c r="G8">
        <f t="shared" si="1"/>
        <v>1</v>
      </c>
      <c r="H8" t="s">
        <v>98</v>
      </c>
      <c r="I8">
        <f t="shared" si="4"/>
        <v>1</v>
      </c>
      <c r="J8" s="7">
        <f>1-0.930533</f>
        <v>6.9466999999999945E-2</v>
      </c>
      <c r="K8" s="7">
        <f t="shared" si="5"/>
        <v>0.93053300000000005</v>
      </c>
      <c r="L8" t="str">
        <f t="shared" si="6"/>
        <v>Empat</v>
      </c>
      <c r="M8" s="7">
        <f t="shared" si="7"/>
        <v>6.0533000000000059E-2</v>
      </c>
      <c r="N8" s="7">
        <f t="shared" si="2"/>
        <v>0.13</v>
      </c>
      <c r="O8" s="7">
        <f t="shared" si="2"/>
        <v>0.87</v>
      </c>
      <c r="P8" t="str">
        <f t="shared" si="3"/>
        <v>EVANS vs. DJOKOVIC</v>
      </c>
      <c r="Q8" s="7">
        <f t="shared" si="8"/>
        <v>0.87</v>
      </c>
      <c r="R8">
        <f t="shared" si="9"/>
        <v>1.6900000000000002E-2</v>
      </c>
    </row>
    <row r="9" spans="1:22" x14ac:dyDescent="0.35">
      <c r="A9" t="s">
        <v>112</v>
      </c>
      <c r="B9" t="s">
        <v>114</v>
      </c>
      <c r="C9">
        <v>24</v>
      </c>
      <c r="D9">
        <v>76</v>
      </c>
      <c r="E9" t="s">
        <v>116</v>
      </c>
      <c r="F9" t="str">
        <f t="shared" si="0"/>
        <v>DARDERI</v>
      </c>
      <c r="G9">
        <f t="shared" si="1"/>
        <v>1</v>
      </c>
      <c r="H9" t="s">
        <v>116</v>
      </c>
      <c r="I9">
        <f t="shared" si="4"/>
        <v>1</v>
      </c>
      <c r="J9" s="7">
        <f>1-0.53091</f>
        <v>0.46909000000000001</v>
      </c>
      <c r="K9" s="7">
        <f t="shared" si="5"/>
        <v>0.53090999999999999</v>
      </c>
      <c r="L9" t="str">
        <f t="shared" si="6"/>
        <v>Empat</v>
      </c>
      <c r="M9" s="7">
        <f t="shared" si="7"/>
        <v>-0.22909000000000002</v>
      </c>
      <c r="N9" s="7">
        <f t="shared" si="2"/>
        <v>0.24</v>
      </c>
      <c r="O9" s="7">
        <f t="shared" si="2"/>
        <v>0.76</v>
      </c>
      <c r="P9" t="str">
        <f t="shared" si="3"/>
        <v>FERY vs. DARDERI</v>
      </c>
      <c r="Q9" s="7">
        <f t="shared" si="8"/>
        <v>0.76</v>
      </c>
      <c r="R9">
        <f t="shared" si="9"/>
        <v>5.7599999999999998E-2</v>
      </c>
      <c r="U9" s="3" t="s">
        <v>259</v>
      </c>
      <c r="V9" s="4">
        <f>AVERAGE(R2:R33)</f>
        <v>0.22245312499999995</v>
      </c>
    </row>
    <row r="10" spans="1:22" ht="15" thickBot="1" x14ac:dyDescent="0.4">
      <c r="A10" t="s">
        <v>154</v>
      </c>
      <c r="B10" t="s">
        <v>156</v>
      </c>
      <c r="C10">
        <v>63</v>
      </c>
      <c r="D10">
        <v>37</v>
      </c>
      <c r="E10" t="s">
        <v>155</v>
      </c>
      <c r="F10" t="str">
        <f t="shared" si="0"/>
        <v>FONSECA</v>
      </c>
      <c r="G10">
        <f t="shared" si="1"/>
        <v>1</v>
      </c>
      <c r="H10" t="s">
        <v>155</v>
      </c>
      <c r="I10">
        <f t="shared" si="4"/>
        <v>1</v>
      </c>
      <c r="J10" s="7">
        <f>1-0.313855</f>
        <v>0.686145</v>
      </c>
      <c r="K10" s="7">
        <f t="shared" si="5"/>
        <v>0.313855</v>
      </c>
      <c r="L10" t="str">
        <f t="shared" si="6"/>
        <v>Empat</v>
      </c>
      <c r="M10" s="7">
        <f t="shared" si="7"/>
        <v>5.6145E-2</v>
      </c>
      <c r="N10" s="7">
        <f t="shared" si="2"/>
        <v>0.63</v>
      </c>
      <c r="O10" s="7">
        <f t="shared" si="2"/>
        <v>0.37</v>
      </c>
      <c r="P10" t="str">
        <f t="shared" si="3"/>
        <v>FONSECA vs. BROOKSBY</v>
      </c>
      <c r="Q10" s="7">
        <f t="shared" si="8"/>
        <v>0.63</v>
      </c>
      <c r="R10">
        <f t="shared" si="9"/>
        <v>0.13689999999999999</v>
      </c>
      <c r="U10" s="5" t="s">
        <v>260</v>
      </c>
      <c r="V10" s="16">
        <v>0.2387</v>
      </c>
    </row>
    <row r="11" spans="1:22" x14ac:dyDescent="0.35">
      <c r="A11" t="s">
        <v>99</v>
      </c>
      <c r="B11" t="s">
        <v>102</v>
      </c>
      <c r="C11">
        <v>72</v>
      </c>
      <c r="D11">
        <v>28</v>
      </c>
      <c r="E11" t="s">
        <v>101</v>
      </c>
      <c r="F11" t="str">
        <f t="shared" si="0"/>
        <v>FRITZ</v>
      </c>
      <c r="G11">
        <f t="shared" si="1"/>
        <v>1</v>
      </c>
      <c r="H11" t="s">
        <v>101</v>
      </c>
      <c r="I11">
        <f t="shared" si="4"/>
        <v>1</v>
      </c>
      <c r="J11" s="7">
        <f>1-0.212849</f>
        <v>0.78715099999999993</v>
      </c>
      <c r="K11" s="7">
        <f t="shared" si="5"/>
        <v>0.21284900000000007</v>
      </c>
      <c r="L11" t="str">
        <f t="shared" si="6"/>
        <v>Empat</v>
      </c>
      <c r="M11" s="7">
        <f t="shared" si="7"/>
        <v>6.7150999999999961E-2</v>
      </c>
      <c r="N11" s="7">
        <f t="shared" si="2"/>
        <v>0.72</v>
      </c>
      <c r="O11" s="7">
        <f t="shared" si="2"/>
        <v>0.28000000000000003</v>
      </c>
      <c r="P11" t="str">
        <f t="shared" si="3"/>
        <v>FRITZ vs. DIALLO</v>
      </c>
      <c r="Q11" s="7">
        <f t="shared" si="8"/>
        <v>0.72</v>
      </c>
      <c r="R11">
        <f t="shared" si="9"/>
        <v>7.8400000000000011E-2</v>
      </c>
    </row>
    <row r="12" spans="1:22" x14ac:dyDescent="0.35">
      <c r="A12" t="s">
        <v>34</v>
      </c>
      <c r="B12" t="s">
        <v>36</v>
      </c>
      <c r="C12">
        <v>37</v>
      </c>
      <c r="D12">
        <v>63</v>
      </c>
      <c r="E12" t="s">
        <v>35</v>
      </c>
      <c r="F12" t="str">
        <f t="shared" si="0"/>
        <v>MONFILS</v>
      </c>
      <c r="G12">
        <f t="shared" si="1"/>
        <v>0</v>
      </c>
      <c r="H12" t="s">
        <v>35</v>
      </c>
      <c r="I12">
        <f t="shared" si="4"/>
        <v>1</v>
      </c>
      <c r="J12" s="7">
        <v>0.53553099999999998</v>
      </c>
      <c r="K12" s="7">
        <f t="shared" si="5"/>
        <v>0.46446900000000002</v>
      </c>
      <c r="L12" t="str">
        <f t="shared" si="6"/>
        <v>Guanyem</v>
      </c>
      <c r="M12" s="7">
        <f t="shared" si="7"/>
        <v>0.16553099999999998</v>
      </c>
      <c r="N12" s="7">
        <f t="shared" si="2"/>
        <v>0.37</v>
      </c>
      <c r="O12" s="7">
        <f t="shared" si="2"/>
        <v>0.63</v>
      </c>
      <c r="P12" t="str">
        <f t="shared" si="3"/>
        <v>FUCSOVICS vs. MONFILS</v>
      </c>
      <c r="Q12" s="7">
        <f t="shared" si="8"/>
        <v>0.63</v>
      </c>
      <c r="R12">
        <f t="shared" si="9"/>
        <v>0.39690000000000003</v>
      </c>
    </row>
    <row r="13" spans="1:22" x14ac:dyDescent="0.35">
      <c r="A13" t="s">
        <v>141</v>
      </c>
      <c r="B13" t="s">
        <v>144</v>
      </c>
      <c r="C13">
        <v>47</v>
      </c>
      <c r="D13">
        <v>53</v>
      </c>
      <c r="E13" t="s">
        <v>146</v>
      </c>
      <c r="F13" t="str">
        <f t="shared" si="0"/>
        <v>RINDERKNECH</v>
      </c>
      <c r="G13">
        <f t="shared" si="1"/>
        <v>1</v>
      </c>
      <c r="H13" t="s">
        <v>146</v>
      </c>
      <c r="I13">
        <f t="shared" si="4"/>
        <v>1</v>
      </c>
      <c r="J13" s="7">
        <v>0.412935</v>
      </c>
      <c r="K13" s="7">
        <f t="shared" si="5"/>
        <v>0.58706499999999995</v>
      </c>
      <c r="L13" t="str">
        <f t="shared" si="6"/>
        <v>Empat</v>
      </c>
      <c r="M13" s="7">
        <f t="shared" si="7"/>
        <v>5.7064999999999921E-2</v>
      </c>
      <c r="N13" s="7">
        <f t="shared" si="2"/>
        <v>0.47</v>
      </c>
      <c r="O13" s="7">
        <f t="shared" si="2"/>
        <v>0.53</v>
      </c>
      <c r="P13" t="str">
        <f t="shared" si="3"/>
        <v>GARIN vs. RINDERKNECH</v>
      </c>
      <c r="Q13" s="7">
        <f t="shared" si="8"/>
        <v>0.53</v>
      </c>
      <c r="R13">
        <f t="shared" si="9"/>
        <v>0.22089999999999999</v>
      </c>
    </row>
    <row r="14" spans="1:22" x14ac:dyDescent="0.35">
      <c r="A14" t="s">
        <v>69</v>
      </c>
      <c r="B14" t="s">
        <v>73</v>
      </c>
      <c r="C14">
        <v>39</v>
      </c>
      <c r="D14">
        <v>61</v>
      </c>
      <c r="E14" t="s">
        <v>74</v>
      </c>
      <c r="F14" t="str">
        <f t="shared" si="0"/>
        <v>MENSIK</v>
      </c>
      <c r="G14">
        <f t="shared" si="1"/>
        <v>1</v>
      </c>
      <c r="H14" t="s">
        <v>74</v>
      </c>
      <c r="I14">
        <f t="shared" si="4"/>
        <v>1</v>
      </c>
      <c r="J14" s="7">
        <v>0.41428300000000001</v>
      </c>
      <c r="K14" s="7">
        <f t="shared" si="5"/>
        <v>0.58571700000000004</v>
      </c>
      <c r="L14" t="str">
        <f t="shared" si="6"/>
        <v>Empat</v>
      </c>
      <c r="M14" s="7">
        <f t="shared" si="7"/>
        <v>-2.4282999999999944E-2</v>
      </c>
      <c r="N14" s="7">
        <f t="shared" si="2"/>
        <v>0.39</v>
      </c>
      <c r="O14" s="7">
        <f t="shared" si="2"/>
        <v>0.61</v>
      </c>
      <c r="P14" t="str">
        <f t="shared" si="3"/>
        <v>GIRON vs. MENSIK</v>
      </c>
      <c r="Q14" s="7">
        <f t="shared" si="8"/>
        <v>0.61</v>
      </c>
      <c r="R14">
        <f t="shared" si="9"/>
        <v>0.15210000000000001</v>
      </c>
    </row>
    <row r="15" spans="1:22" x14ac:dyDescent="0.35">
      <c r="A15" t="s">
        <v>82</v>
      </c>
      <c r="B15" t="s">
        <v>85</v>
      </c>
      <c r="C15">
        <v>28</v>
      </c>
      <c r="D15">
        <v>72</v>
      </c>
      <c r="E15" t="s">
        <v>83</v>
      </c>
      <c r="F15" t="str">
        <f t="shared" si="0"/>
        <v>MACHAC</v>
      </c>
      <c r="G15">
        <f t="shared" si="1"/>
        <v>0</v>
      </c>
      <c r="H15" t="s">
        <v>86</v>
      </c>
      <c r="I15">
        <f t="shared" si="4"/>
        <v>0</v>
      </c>
      <c r="J15" s="7">
        <v>0.301927</v>
      </c>
      <c r="K15" s="7">
        <f t="shared" si="5"/>
        <v>0.69807299999999994</v>
      </c>
      <c r="L15" t="str">
        <f t="shared" si="6"/>
        <v>Empat</v>
      </c>
      <c r="M15" s="7">
        <f t="shared" si="7"/>
        <v>2.1926999999999974E-2</v>
      </c>
      <c r="N15" s="7">
        <f t="shared" si="2"/>
        <v>0.28000000000000003</v>
      </c>
      <c r="O15" s="7">
        <f t="shared" si="2"/>
        <v>0.72</v>
      </c>
      <c r="P15" t="str">
        <f t="shared" si="3"/>
        <v>HOLMGREN vs. MACHAC</v>
      </c>
      <c r="Q15" s="7">
        <f t="shared" si="8"/>
        <v>0.72</v>
      </c>
      <c r="R15">
        <f t="shared" si="9"/>
        <v>0.51839999999999997</v>
      </c>
    </row>
    <row r="16" spans="1:22" x14ac:dyDescent="0.35">
      <c r="A16" t="s">
        <v>148</v>
      </c>
      <c r="B16" t="s">
        <v>150</v>
      </c>
      <c r="C16">
        <v>38</v>
      </c>
      <c r="D16">
        <v>62</v>
      </c>
      <c r="E16" t="s">
        <v>149</v>
      </c>
      <c r="F16" t="str">
        <f t="shared" si="0"/>
        <v>TIEN</v>
      </c>
      <c r="G16">
        <f t="shared" si="1"/>
        <v>0</v>
      </c>
      <c r="H16" t="s">
        <v>149</v>
      </c>
      <c r="I16">
        <f t="shared" si="4"/>
        <v>1</v>
      </c>
      <c r="J16" s="7">
        <v>0.59473699999999996</v>
      </c>
      <c r="K16" s="7">
        <f t="shared" si="5"/>
        <v>0.40526300000000004</v>
      </c>
      <c r="L16" t="str">
        <f t="shared" si="6"/>
        <v>Guanyem</v>
      </c>
      <c r="M16" s="7">
        <f t="shared" si="7"/>
        <v>0.21473699999999996</v>
      </c>
      <c r="N16" s="7">
        <f t="shared" si="2"/>
        <v>0.38</v>
      </c>
      <c r="O16" s="7">
        <f t="shared" si="2"/>
        <v>0.62</v>
      </c>
      <c r="P16" t="str">
        <f t="shared" si="3"/>
        <v>JARRY vs. TIEN</v>
      </c>
      <c r="Q16" s="7">
        <f t="shared" si="8"/>
        <v>0.62</v>
      </c>
      <c r="R16">
        <f t="shared" si="9"/>
        <v>0.38440000000000002</v>
      </c>
    </row>
    <row r="17" spans="1:18" x14ac:dyDescent="0.35">
      <c r="A17" t="s">
        <v>88</v>
      </c>
      <c r="B17" t="s">
        <v>90</v>
      </c>
      <c r="C17">
        <v>62</v>
      </c>
      <c r="D17">
        <v>38</v>
      </c>
      <c r="E17" t="s">
        <v>89</v>
      </c>
      <c r="F17" t="str">
        <f t="shared" si="0"/>
        <v>KECMANOVIC</v>
      </c>
      <c r="G17">
        <f t="shared" si="1"/>
        <v>1</v>
      </c>
      <c r="H17" t="s">
        <v>89</v>
      </c>
      <c r="I17">
        <f t="shared" si="4"/>
        <v>1</v>
      </c>
      <c r="J17" s="7">
        <f>1-0.274561</f>
        <v>0.72543899999999994</v>
      </c>
      <c r="K17" s="7">
        <f t="shared" si="5"/>
        <v>0.27456100000000006</v>
      </c>
      <c r="L17" t="str">
        <f t="shared" si="6"/>
        <v>Empat</v>
      </c>
      <c r="M17" s="7">
        <f t="shared" si="7"/>
        <v>0.10543899999999995</v>
      </c>
      <c r="N17" s="7">
        <f t="shared" si="2"/>
        <v>0.62</v>
      </c>
      <c r="O17" s="7">
        <f t="shared" si="2"/>
        <v>0.38</v>
      </c>
      <c r="P17" t="str">
        <f t="shared" si="3"/>
        <v>KECMANOVIC vs. DE JONG</v>
      </c>
      <c r="Q17" s="7">
        <f t="shared" si="8"/>
        <v>0.62</v>
      </c>
      <c r="R17">
        <f t="shared" si="9"/>
        <v>0.1444</v>
      </c>
    </row>
    <row r="18" spans="1:18" x14ac:dyDescent="0.35">
      <c r="A18" t="s">
        <v>159</v>
      </c>
      <c r="B18" t="s">
        <v>162</v>
      </c>
      <c r="C18">
        <v>56</v>
      </c>
      <c r="D18">
        <v>44</v>
      </c>
      <c r="E18" t="s">
        <v>164</v>
      </c>
      <c r="F18" t="str">
        <f t="shared" si="0"/>
        <v>LEHECKA</v>
      </c>
      <c r="G18">
        <f t="shared" si="1"/>
        <v>0</v>
      </c>
      <c r="H18" t="s">
        <v>161</v>
      </c>
      <c r="I18">
        <f t="shared" si="4"/>
        <v>0</v>
      </c>
      <c r="J18" s="7">
        <f>1-0.083545</f>
        <v>0.91645500000000002</v>
      </c>
      <c r="K18" s="7">
        <f t="shared" si="5"/>
        <v>8.354499999999998E-2</v>
      </c>
      <c r="L18" t="str">
        <f t="shared" si="6"/>
        <v>Empat</v>
      </c>
      <c r="M18" s="7">
        <f t="shared" si="7"/>
        <v>-0.35645500000000002</v>
      </c>
      <c r="N18" s="7">
        <f t="shared" si="2"/>
        <v>0.56000000000000005</v>
      </c>
      <c r="O18" s="7">
        <f t="shared" si="2"/>
        <v>0.44</v>
      </c>
      <c r="P18" t="str">
        <f t="shared" si="3"/>
        <v>LEHECKA vs. BELLUCCI</v>
      </c>
      <c r="Q18" s="7">
        <f t="shared" si="8"/>
        <v>0.56000000000000005</v>
      </c>
      <c r="R18">
        <f t="shared" si="9"/>
        <v>0.31360000000000005</v>
      </c>
    </row>
    <row r="19" spans="1:18" x14ac:dyDescent="0.35">
      <c r="A19" t="s">
        <v>136</v>
      </c>
      <c r="B19" t="s">
        <v>138</v>
      </c>
      <c r="C19">
        <v>42</v>
      </c>
      <c r="D19">
        <v>58</v>
      </c>
      <c r="E19" t="s">
        <v>137</v>
      </c>
      <c r="F19" t="str">
        <f t="shared" si="0"/>
        <v>QUINN</v>
      </c>
      <c r="G19">
        <f t="shared" si="1"/>
        <v>0</v>
      </c>
      <c r="H19" t="s">
        <v>140</v>
      </c>
      <c r="I19">
        <f t="shared" si="4"/>
        <v>0</v>
      </c>
      <c r="J19" s="7">
        <v>0.48952899999999999</v>
      </c>
      <c r="K19" s="7">
        <f t="shared" si="5"/>
        <v>0.51047100000000001</v>
      </c>
      <c r="L19" t="str">
        <f t="shared" si="6"/>
        <v>Empat</v>
      </c>
      <c r="M19" s="7">
        <f t="shared" si="7"/>
        <v>6.9529000000000007E-2</v>
      </c>
      <c r="N19" s="7">
        <f t="shared" si="2"/>
        <v>0.42</v>
      </c>
      <c r="O19" s="7">
        <f t="shared" si="2"/>
        <v>0.57999999999999996</v>
      </c>
      <c r="P19" t="str">
        <f t="shared" si="3"/>
        <v>MAJCHRZAK vs. QUINN</v>
      </c>
      <c r="Q19" s="7">
        <f t="shared" si="8"/>
        <v>0.57999999999999996</v>
      </c>
      <c r="R19">
        <f t="shared" si="9"/>
        <v>0.33639999999999998</v>
      </c>
    </row>
    <row r="20" spans="1:18" x14ac:dyDescent="0.35">
      <c r="A20" t="s">
        <v>176</v>
      </c>
      <c r="B20" t="s">
        <v>179</v>
      </c>
      <c r="C20">
        <v>42</v>
      </c>
      <c r="D20">
        <v>58</v>
      </c>
      <c r="E20" t="s">
        <v>178</v>
      </c>
      <c r="F20" t="str">
        <f t="shared" si="0"/>
        <v>ROYER</v>
      </c>
      <c r="G20">
        <f t="shared" si="1"/>
        <v>0</v>
      </c>
      <c r="H20" t="s">
        <v>178</v>
      </c>
      <c r="I20">
        <f t="shared" si="4"/>
        <v>1</v>
      </c>
      <c r="J20" s="7">
        <v>0.69118900000000005</v>
      </c>
      <c r="K20" s="7">
        <f t="shared" si="5"/>
        <v>0.30881099999999995</v>
      </c>
      <c r="L20" t="str">
        <f t="shared" si="6"/>
        <v>Guanyem</v>
      </c>
      <c r="M20" s="7">
        <f t="shared" si="7"/>
        <v>0.27118900000000007</v>
      </c>
      <c r="N20" s="7">
        <f t="shared" si="2"/>
        <v>0.42</v>
      </c>
      <c r="O20" s="7">
        <f t="shared" si="2"/>
        <v>0.57999999999999996</v>
      </c>
      <c r="P20" t="str">
        <f t="shared" si="3"/>
        <v>MANNARINO vs. ROYER</v>
      </c>
      <c r="Q20" s="7">
        <f t="shared" si="8"/>
        <v>0.57999999999999996</v>
      </c>
      <c r="R20">
        <f t="shared" si="9"/>
        <v>0.33639999999999998</v>
      </c>
    </row>
    <row r="21" spans="1:18" x14ac:dyDescent="0.35">
      <c r="A21" t="s">
        <v>58</v>
      </c>
      <c r="B21" t="s">
        <v>60</v>
      </c>
      <c r="C21">
        <v>42</v>
      </c>
      <c r="D21">
        <v>58</v>
      </c>
      <c r="E21" t="s">
        <v>62</v>
      </c>
      <c r="F21" t="str">
        <f t="shared" si="0"/>
        <v>MUNAR</v>
      </c>
      <c r="G21">
        <f t="shared" si="1"/>
        <v>1</v>
      </c>
      <c r="H21" t="s">
        <v>62</v>
      </c>
      <c r="I21">
        <f t="shared" si="4"/>
        <v>1</v>
      </c>
      <c r="J21" s="7">
        <v>0.49672500000000003</v>
      </c>
      <c r="K21" s="7">
        <f t="shared" si="5"/>
        <v>0.50327499999999992</v>
      </c>
      <c r="L21" t="str">
        <f t="shared" si="6"/>
        <v>Empat</v>
      </c>
      <c r="M21" s="7">
        <f t="shared" si="7"/>
        <v>-7.6725000000000043E-2</v>
      </c>
      <c r="N21" s="7">
        <f t="shared" si="2"/>
        <v>0.42</v>
      </c>
      <c r="O21" s="7">
        <f t="shared" si="2"/>
        <v>0.57999999999999996</v>
      </c>
      <c r="P21" t="str">
        <f t="shared" si="3"/>
        <v>MAROZSAN vs. MUNAR</v>
      </c>
      <c r="Q21" s="7">
        <f t="shared" si="8"/>
        <v>0.57999999999999996</v>
      </c>
      <c r="R21">
        <f t="shared" si="9"/>
        <v>0.17640000000000003</v>
      </c>
    </row>
    <row r="22" spans="1:18" x14ac:dyDescent="0.35">
      <c r="A22" t="s">
        <v>9</v>
      </c>
      <c r="B22" t="s">
        <v>12</v>
      </c>
      <c r="C22">
        <v>55</v>
      </c>
      <c r="D22">
        <v>45</v>
      </c>
      <c r="E22" t="s">
        <v>11</v>
      </c>
      <c r="F22" t="str">
        <f t="shared" si="0"/>
        <v>MARTÍNEZ</v>
      </c>
      <c r="G22">
        <f t="shared" si="1"/>
        <v>1</v>
      </c>
      <c r="H22" t="s">
        <v>14</v>
      </c>
      <c r="I22">
        <f t="shared" si="4"/>
        <v>0</v>
      </c>
      <c r="J22" s="7">
        <v>0.41036899999999998</v>
      </c>
      <c r="K22" s="7">
        <f t="shared" si="5"/>
        <v>0.58963100000000002</v>
      </c>
      <c r="L22" t="str">
        <f t="shared" si="6"/>
        <v>Perdem</v>
      </c>
      <c r="M22" s="7">
        <f t="shared" si="7"/>
        <v>-0.13963100000000006</v>
      </c>
      <c r="N22" s="7">
        <f t="shared" si="2"/>
        <v>0.55000000000000004</v>
      </c>
      <c r="O22" s="7">
        <f t="shared" si="2"/>
        <v>0.45</v>
      </c>
      <c r="P22" t="str">
        <f t="shared" si="3"/>
        <v>MARTÍNEZ vs. NAVONE</v>
      </c>
      <c r="Q22" s="7">
        <f t="shared" si="8"/>
        <v>0.55000000000000004</v>
      </c>
      <c r="R22">
        <f t="shared" si="9"/>
        <v>0.20249999999999996</v>
      </c>
    </row>
    <row r="23" spans="1:18" x14ac:dyDescent="0.35">
      <c r="A23" t="s">
        <v>129</v>
      </c>
      <c r="B23" t="s">
        <v>133</v>
      </c>
      <c r="C23">
        <v>37</v>
      </c>
      <c r="D23">
        <v>63</v>
      </c>
      <c r="E23" t="s">
        <v>134</v>
      </c>
      <c r="F23" t="str">
        <f t="shared" si="0"/>
        <v>KHACHANOV</v>
      </c>
      <c r="G23">
        <f t="shared" si="1"/>
        <v>1</v>
      </c>
      <c r="H23" t="s">
        <v>134</v>
      </c>
      <c r="I23">
        <f t="shared" si="4"/>
        <v>1</v>
      </c>
      <c r="J23" s="7">
        <f>1-0.91519</f>
        <v>8.4810000000000052E-2</v>
      </c>
      <c r="K23" s="7">
        <f t="shared" si="5"/>
        <v>0.91518999999999995</v>
      </c>
      <c r="L23" t="str">
        <f t="shared" si="6"/>
        <v>Empat</v>
      </c>
      <c r="M23" s="7">
        <f t="shared" si="7"/>
        <v>0.28518999999999994</v>
      </c>
      <c r="N23" s="7">
        <f t="shared" si="2"/>
        <v>0.37</v>
      </c>
      <c r="O23" s="7">
        <f t="shared" si="2"/>
        <v>0.63</v>
      </c>
      <c r="P23" t="str">
        <f t="shared" si="3"/>
        <v>MOCHIZUKI vs. KHACHANOV</v>
      </c>
      <c r="Q23" s="7">
        <f t="shared" si="8"/>
        <v>0.63</v>
      </c>
      <c r="R23">
        <f t="shared" si="9"/>
        <v>0.13689999999999999</v>
      </c>
    </row>
    <row r="24" spans="1:18" x14ac:dyDescent="0.35">
      <c r="A24" t="s">
        <v>39</v>
      </c>
      <c r="B24" t="s">
        <v>43</v>
      </c>
      <c r="C24">
        <v>55</v>
      </c>
      <c r="D24">
        <v>45</v>
      </c>
      <c r="E24" t="s">
        <v>41</v>
      </c>
      <c r="F24" t="str">
        <f t="shared" si="0"/>
        <v>NAKASHIMA</v>
      </c>
      <c r="G24">
        <f t="shared" si="1"/>
        <v>1</v>
      </c>
      <c r="H24" t="s">
        <v>41</v>
      </c>
      <c r="I24">
        <f t="shared" si="4"/>
        <v>1</v>
      </c>
      <c r="J24" s="7">
        <v>0.63892800000000005</v>
      </c>
      <c r="K24" s="7">
        <f t="shared" si="5"/>
        <v>0.36107199999999995</v>
      </c>
      <c r="L24" t="str">
        <f t="shared" si="6"/>
        <v>Empat</v>
      </c>
      <c r="M24" s="7">
        <f t="shared" si="7"/>
        <v>8.8928000000000007E-2</v>
      </c>
      <c r="N24" s="7">
        <f t="shared" si="2"/>
        <v>0.55000000000000004</v>
      </c>
      <c r="O24" s="7">
        <f t="shared" si="2"/>
        <v>0.45</v>
      </c>
      <c r="P24" t="str">
        <f t="shared" si="3"/>
        <v>NAKASHIMA vs. OPELKA</v>
      </c>
      <c r="Q24" s="7">
        <f t="shared" si="8"/>
        <v>0.55000000000000004</v>
      </c>
      <c r="R24">
        <f t="shared" si="9"/>
        <v>0.20249999999999996</v>
      </c>
    </row>
    <row r="25" spans="1:18" x14ac:dyDescent="0.35">
      <c r="A25" t="s">
        <v>165</v>
      </c>
      <c r="B25" t="s">
        <v>169</v>
      </c>
      <c r="C25">
        <v>38</v>
      </c>
      <c r="D25">
        <v>63</v>
      </c>
      <c r="E25" t="s">
        <v>167</v>
      </c>
      <c r="F25" t="str">
        <f t="shared" si="0"/>
        <v>TIAFOE</v>
      </c>
      <c r="G25">
        <f t="shared" si="1"/>
        <v>0</v>
      </c>
      <c r="H25" t="s">
        <v>170</v>
      </c>
      <c r="I25">
        <f t="shared" si="4"/>
        <v>0</v>
      </c>
      <c r="J25" s="7">
        <v>0.44528000000000001</v>
      </c>
      <c r="K25" s="7">
        <f t="shared" si="5"/>
        <v>0.55471999999999999</v>
      </c>
      <c r="L25" t="str">
        <f t="shared" si="6"/>
        <v>Empat</v>
      </c>
      <c r="M25" s="7">
        <f t="shared" si="7"/>
        <v>6.5280000000000005E-2</v>
      </c>
      <c r="N25" s="7">
        <f t="shared" si="2"/>
        <v>0.38</v>
      </c>
      <c r="O25" s="7">
        <f t="shared" si="2"/>
        <v>0.63</v>
      </c>
      <c r="P25" t="str">
        <f t="shared" si="3"/>
        <v>NORRIE vs. TIAFOE</v>
      </c>
      <c r="Q25" s="7">
        <f t="shared" si="8"/>
        <v>0.63</v>
      </c>
      <c r="R25">
        <f t="shared" si="9"/>
        <v>0.39690000000000003</v>
      </c>
    </row>
    <row r="26" spans="1:18" x14ac:dyDescent="0.35">
      <c r="A26" t="s">
        <v>21</v>
      </c>
      <c r="B26" t="s">
        <v>25</v>
      </c>
      <c r="C26">
        <v>27</v>
      </c>
      <c r="D26">
        <v>73</v>
      </c>
      <c r="E26" t="s">
        <v>23</v>
      </c>
      <c r="F26" t="str">
        <f t="shared" si="0"/>
        <v>PAUL</v>
      </c>
      <c r="G26">
        <f t="shared" si="1"/>
        <v>0</v>
      </c>
      <c r="H26" t="s">
        <v>26</v>
      </c>
      <c r="I26">
        <f t="shared" si="4"/>
        <v>0</v>
      </c>
      <c r="J26" s="7">
        <v>0.160053</v>
      </c>
      <c r="K26" s="7">
        <f t="shared" si="5"/>
        <v>0.839947</v>
      </c>
      <c r="L26" t="str">
        <f t="shared" si="6"/>
        <v>Empat</v>
      </c>
      <c r="M26" s="7">
        <f t="shared" si="7"/>
        <v>-0.10994700000000002</v>
      </c>
      <c r="N26" s="7">
        <f t="shared" si="2"/>
        <v>0.27</v>
      </c>
      <c r="O26" s="7">
        <f t="shared" si="2"/>
        <v>0.73</v>
      </c>
      <c r="P26" t="str">
        <f t="shared" si="3"/>
        <v>OFNER vs. PAUL</v>
      </c>
      <c r="Q26" s="7">
        <f t="shared" si="8"/>
        <v>0.73</v>
      </c>
      <c r="R26">
        <f t="shared" si="9"/>
        <v>0.53289999999999993</v>
      </c>
    </row>
    <row r="27" spans="1:18" x14ac:dyDescent="0.35">
      <c r="A27" t="s">
        <v>171</v>
      </c>
      <c r="B27" t="s">
        <v>175</v>
      </c>
      <c r="C27">
        <v>77</v>
      </c>
      <c r="D27">
        <v>23</v>
      </c>
      <c r="E27" t="s">
        <v>173</v>
      </c>
      <c r="F27" t="str">
        <f t="shared" si="0"/>
        <v>RUBLEV</v>
      </c>
      <c r="G27">
        <f t="shared" si="1"/>
        <v>1</v>
      </c>
      <c r="H27" t="s">
        <v>173</v>
      </c>
      <c r="I27">
        <f t="shared" si="4"/>
        <v>1</v>
      </c>
      <c r="J27" s="7">
        <f>1-0.291186</f>
        <v>0.70881400000000006</v>
      </c>
      <c r="K27" s="7">
        <f t="shared" si="5"/>
        <v>0.29118599999999994</v>
      </c>
      <c r="L27" t="str">
        <f t="shared" si="6"/>
        <v>Empat</v>
      </c>
      <c r="M27" s="7">
        <f t="shared" si="7"/>
        <v>-6.1185999999999963E-2</v>
      </c>
      <c r="N27" s="7">
        <f t="shared" si="2"/>
        <v>0.77</v>
      </c>
      <c r="O27" s="7">
        <f t="shared" si="2"/>
        <v>0.23</v>
      </c>
      <c r="P27" t="str">
        <f t="shared" si="3"/>
        <v>RUBLEV vs. HARRIS</v>
      </c>
      <c r="Q27" s="7">
        <f t="shared" si="8"/>
        <v>0.77</v>
      </c>
      <c r="R27">
        <f t="shared" si="9"/>
        <v>5.2899999999999989E-2</v>
      </c>
    </row>
    <row r="28" spans="1:18" x14ac:dyDescent="0.35">
      <c r="A28" t="s">
        <v>27</v>
      </c>
      <c r="B28" t="s">
        <v>30</v>
      </c>
      <c r="C28">
        <v>68</v>
      </c>
      <c r="D28">
        <v>32</v>
      </c>
      <c r="E28" t="s">
        <v>29</v>
      </c>
      <c r="F28" t="str">
        <f t="shared" si="0"/>
        <v>SHELTON</v>
      </c>
      <c r="G28">
        <f t="shared" si="1"/>
        <v>1</v>
      </c>
      <c r="H28" t="s">
        <v>29</v>
      </c>
      <c r="I28">
        <f t="shared" si="4"/>
        <v>1</v>
      </c>
      <c r="J28" s="7">
        <f>1-0.425766</f>
        <v>0.57423400000000002</v>
      </c>
      <c r="K28" s="7">
        <f t="shared" si="5"/>
        <v>0.42576599999999998</v>
      </c>
      <c r="L28" t="str">
        <f t="shared" si="6"/>
        <v>Empat</v>
      </c>
      <c r="M28" s="7">
        <f t="shared" si="7"/>
        <v>-0.10576600000000003</v>
      </c>
      <c r="N28" s="7">
        <f t="shared" si="2"/>
        <v>0.68</v>
      </c>
      <c r="O28" s="7">
        <f t="shared" si="2"/>
        <v>0.32</v>
      </c>
      <c r="P28" t="str">
        <f t="shared" si="3"/>
        <v>SHELTON vs. HIJIKATA</v>
      </c>
      <c r="Q28" s="7">
        <f t="shared" si="8"/>
        <v>0.68</v>
      </c>
      <c r="R28">
        <f t="shared" si="9"/>
        <v>0.10239999999999996</v>
      </c>
    </row>
    <row r="29" spans="1:18" x14ac:dyDescent="0.35">
      <c r="A29" t="s">
        <v>3</v>
      </c>
      <c r="B29" t="s">
        <v>7</v>
      </c>
      <c r="C29">
        <v>90</v>
      </c>
      <c r="D29">
        <v>10</v>
      </c>
      <c r="E29" t="s">
        <v>5</v>
      </c>
      <c r="F29" t="str">
        <f t="shared" si="0"/>
        <v>SINNER</v>
      </c>
      <c r="G29">
        <f t="shared" si="1"/>
        <v>1</v>
      </c>
      <c r="H29" t="s">
        <v>5</v>
      </c>
      <c r="I29">
        <f t="shared" si="4"/>
        <v>1</v>
      </c>
      <c r="J29" s="7">
        <v>0.96193600000000001</v>
      </c>
      <c r="K29" s="7">
        <f t="shared" si="5"/>
        <v>3.8063999999999987E-2</v>
      </c>
      <c r="L29" t="str">
        <f t="shared" si="6"/>
        <v>Empat</v>
      </c>
      <c r="M29" s="7">
        <f t="shared" si="7"/>
        <v>6.1935999999999991E-2</v>
      </c>
      <c r="N29" s="7">
        <f t="shared" si="2"/>
        <v>0.9</v>
      </c>
      <c r="O29" s="7">
        <f t="shared" si="2"/>
        <v>0.1</v>
      </c>
      <c r="P29" t="str">
        <f t="shared" si="3"/>
        <v>SINNER vs. VUKIC</v>
      </c>
      <c r="Q29" s="7">
        <f t="shared" si="8"/>
        <v>0.9</v>
      </c>
      <c r="R29">
        <f t="shared" si="9"/>
        <v>9.999999999999995E-3</v>
      </c>
    </row>
    <row r="30" spans="1:18" x14ac:dyDescent="0.35">
      <c r="A30" t="s">
        <v>46</v>
      </c>
      <c r="B30" t="s">
        <v>49</v>
      </c>
      <c r="C30">
        <v>65</v>
      </c>
      <c r="D30">
        <v>35</v>
      </c>
      <c r="E30" t="s">
        <v>47</v>
      </c>
      <c r="F30" t="str">
        <f t="shared" si="0"/>
        <v>SONEGO</v>
      </c>
      <c r="G30">
        <f t="shared" si="1"/>
        <v>1</v>
      </c>
      <c r="H30" t="s">
        <v>47</v>
      </c>
      <c r="I30">
        <f t="shared" si="4"/>
        <v>1</v>
      </c>
      <c r="J30" s="7">
        <f>1-0.386971</f>
        <v>0.61302900000000005</v>
      </c>
      <c r="K30" s="7">
        <f t="shared" si="5"/>
        <v>0.38697099999999995</v>
      </c>
      <c r="L30" t="str">
        <f t="shared" si="6"/>
        <v>Empat</v>
      </c>
      <c r="M30" s="7">
        <f t="shared" si="7"/>
        <v>-3.6970999999999976E-2</v>
      </c>
      <c r="N30" s="7">
        <f t="shared" si="2"/>
        <v>0.65</v>
      </c>
      <c r="O30" s="7">
        <f t="shared" si="2"/>
        <v>0.35</v>
      </c>
      <c r="P30" t="str">
        <f t="shared" si="3"/>
        <v>SONEGO vs. MUSETTI</v>
      </c>
      <c r="Q30" s="7">
        <f t="shared" si="8"/>
        <v>0.65</v>
      </c>
      <c r="R30">
        <f t="shared" si="9"/>
        <v>0.12249999999999998</v>
      </c>
    </row>
    <row r="31" spans="1:18" x14ac:dyDescent="0.35">
      <c r="A31" t="s">
        <v>188</v>
      </c>
      <c r="B31" t="s">
        <v>192</v>
      </c>
      <c r="C31">
        <v>6</v>
      </c>
      <c r="D31">
        <v>94</v>
      </c>
      <c r="E31" t="s">
        <v>193</v>
      </c>
      <c r="F31" t="str">
        <f t="shared" si="0"/>
        <v>ALCARAZ</v>
      </c>
      <c r="G31">
        <f t="shared" si="1"/>
        <v>1</v>
      </c>
      <c r="H31" t="s">
        <v>193</v>
      </c>
      <c r="I31">
        <f t="shared" si="4"/>
        <v>1</v>
      </c>
      <c r="J31" s="7">
        <f>1-0.745963</f>
        <v>0.25403699999999996</v>
      </c>
      <c r="K31" s="7">
        <f t="shared" si="5"/>
        <v>0.74596300000000004</v>
      </c>
      <c r="L31" t="str">
        <f t="shared" si="6"/>
        <v>Empat</v>
      </c>
      <c r="M31" s="7">
        <f t="shared" si="7"/>
        <v>-0.1940369999999999</v>
      </c>
      <c r="N31" s="7">
        <f t="shared" si="2"/>
        <v>0.06</v>
      </c>
      <c r="O31" s="7">
        <f t="shared" si="2"/>
        <v>0.94</v>
      </c>
      <c r="P31" t="str">
        <f t="shared" si="3"/>
        <v>TARVET vs. ALCARAZ</v>
      </c>
      <c r="Q31" s="7">
        <f t="shared" si="8"/>
        <v>0.94</v>
      </c>
      <c r="R31">
        <f t="shared" si="9"/>
        <v>3.6000000000000064E-3</v>
      </c>
    </row>
    <row r="32" spans="1:18" x14ac:dyDescent="0.35">
      <c r="A32" t="s">
        <v>118</v>
      </c>
      <c r="B32" t="s">
        <v>120</v>
      </c>
      <c r="C32">
        <v>53</v>
      </c>
      <c r="D32">
        <v>47</v>
      </c>
      <c r="E32" t="s">
        <v>119</v>
      </c>
      <c r="F32" t="str">
        <f t="shared" si="0"/>
        <v>THOMPSON</v>
      </c>
      <c r="G32">
        <f t="shared" si="1"/>
        <v>1</v>
      </c>
      <c r="H32" t="s">
        <v>122</v>
      </c>
      <c r="I32">
        <f t="shared" si="4"/>
        <v>0</v>
      </c>
      <c r="J32" s="7">
        <f>(1-0.613034)</f>
        <v>0.38696600000000003</v>
      </c>
      <c r="K32" s="7">
        <f t="shared" si="5"/>
        <v>0.61303399999999997</v>
      </c>
      <c r="L32" t="str">
        <f t="shared" si="6"/>
        <v>Perdem</v>
      </c>
      <c r="M32" s="7">
        <f t="shared" si="7"/>
        <v>-0.14303399999999999</v>
      </c>
      <c r="N32" s="7">
        <f t="shared" si="2"/>
        <v>0.53</v>
      </c>
      <c r="O32" s="7">
        <f t="shared" si="2"/>
        <v>0.47</v>
      </c>
      <c r="P32" t="str">
        <f t="shared" si="3"/>
        <v>THOMPSON vs. BONZI</v>
      </c>
      <c r="Q32" s="7">
        <f t="shared" si="8"/>
        <v>0.53</v>
      </c>
      <c r="R32">
        <f t="shared" si="9"/>
        <v>0.22089999999999999</v>
      </c>
    </row>
    <row r="33" spans="1:18" x14ac:dyDescent="0.35">
      <c r="A33" t="s">
        <v>106</v>
      </c>
      <c r="B33" t="s">
        <v>109</v>
      </c>
      <c r="C33">
        <v>35</v>
      </c>
      <c r="D33">
        <v>65</v>
      </c>
      <c r="E33" t="s">
        <v>110</v>
      </c>
      <c r="F33" t="str">
        <f t="shared" si="0"/>
        <v>DAVIDOVICH FOKINA</v>
      </c>
      <c r="G33">
        <f t="shared" si="1"/>
        <v>1</v>
      </c>
      <c r="H33" t="s">
        <v>110</v>
      </c>
      <c r="I33">
        <f t="shared" si="4"/>
        <v>1</v>
      </c>
      <c r="J33" s="7">
        <f>1-0.763238</f>
        <v>0.23676200000000003</v>
      </c>
      <c r="K33" s="7">
        <f t="shared" si="5"/>
        <v>0.76323799999999997</v>
      </c>
      <c r="L33" t="str">
        <f t="shared" si="6"/>
        <v>Empat</v>
      </c>
      <c r="M33" s="7">
        <f t="shared" si="7"/>
        <v>0.11323799999999995</v>
      </c>
      <c r="N33" s="7">
        <f t="shared" si="2"/>
        <v>0.35</v>
      </c>
      <c r="O33" s="7">
        <f t="shared" si="2"/>
        <v>0.65</v>
      </c>
      <c r="P33" t="str">
        <f t="shared" si="3"/>
        <v>VAN DE ZANDSCHULP vs. DAVIDOVICH FOKINA</v>
      </c>
      <c r="Q33" s="7">
        <f t="shared" si="8"/>
        <v>0.65</v>
      </c>
      <c r="R33">
        <f t="shared" si="9"/>
        <v>0.12249999999999998</v>
      </c>
    </row>
  </sheetData>
  <autoFilter ref="A1:G33" xr:uid="{BA468E2B-B98F-49D5-BB7C-817B60D20F6A}">
    <sortState xmlns:xlrd2="http://schemas.microsoft.com/office/spreadsheetml/2017/richdata2" ref="A2:G33">
      <sortCondition ref="A1:A33"/>
    </sortState>
  </autoFilter>
  <conditionalFormatting sqref="G2:G33">
    <cfRule type="cellIs" dxfId="63" priority="11" operator="equal">
      <formula>0</formula>
    </cfRule>
    <cfRule type="cellIs" dxfId="62" priority="12" operator="equal">
      <formula>1</formula>
    </cfRule>
  </conditionalFormatting>
  <conditionalFormatting sqref="J1:P1">
    <cfRule type="cellIs" dxfId="61" priority="9" operator="equal">
      <formula>0</formula>
    </cfRule>
    <cfRule type="cellIs" dxfId="60" priority="10" operator="equal">
      <formula>1</formula>
    </cfRule>
  </conditionalFormatting>
  <conditionalFormatting sqref="I2:I33">
    <cfRule type="cellIs" dxfId="59" priority="7" operator="equal">
      <formula>0</formula>
    </cfRule>
    <cfRule type="cellIs" dxfId="58" priority="8" operator="equal">
      <formula>1</formula>
    </cfRule>
  </conditionalFormatting>
  <conditionalFormatting sqref="L2:L33">
    <cfRule type="containsText" dxfId="57" priority="4" operator="containsText" text="Perdem">
      <formula>NOT(ISERROR(SEARCH("Perdem",L2)))</formula>
    </cfRule>
    <cfRule type="containsText" dxfId="56" priority="5" operator="containsText" text="Guanyem">
      <formula>NOT(ISERROR(SEARCH("Guanyem",L2)))</formula>
    </cfRule>
    <cfRule type="containsText" dxfId="55" priority="6" operator="containsText" text="Empat">
      <formula>NOT(ISERROR(SEARCH("Empat",L2)))</formula>
    </cfRule>
  </conditionalFormatting>
  <conditionalFormatting sqref="M2:M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ellIs" dxfId="52" priority="1" operator="equal">
      <formula>0</formula>
    </cfRule>
    <cfRule type="cellIs" dxfId="51" priority="2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3751-FF78-4C3C-8ABE-F983B99484C6}">
  <dimension ref="A1:Y17"/>
  <sheetViews>
    <sheetView topLeftCell="N1" workbookViewId="0">
      <pane ySplit="1" topLeftCell="A2" activePane="bottomLeft" state="frozen"/>
      <selection pane="bottomLeft" activeCell="Y11" sqref="Y11"/>
    </sheetView>
  </sheetViews>
  <sheetFormatPr defaultColWidth="8.81640625" defaultRowHeight="14.5" x14ac:dyDescent="0.35"/>
  <cols>
    <col min="1" max="1" width="18.7265625" bestFit="1" customWidth="1"/>
    <col min="2" max="2" width="26.90625" bestFit="1" customWidth="1"/>
    <col min="3" max="4" width="14.26953125" bestFit="1" customWidth="1"/>
    <col min="5" max="6" width="12.90625" bestFit="1" customWidth="1"/>
    <col min="7" max="7" width="10.90625" bestFit="1" customWidth="1"/>
    <col min="8" max="8" width="11.54296875" bestFit="1" customWidth="1"/>
    <col min="9" max="9" width="8.7265625" bestFit="1" customWidth="1"/>
    <col min="10" max="11" width="22.54296875" bestFit="1" customWidth="1"/>
    <col min="12" max="12" width="25.81640625" bestFit="1" customWidth="1"/>
    <col min="13" max="13" width="14.90625" bestFit="1" customWidth="1"/>
    <col min="14" max="15" width="15.6328125" bestFit="1" customWidth="1"/>
    <col min="16" max="16" width="26" bestFit="1" customWidth="1"/>
    <col min="19" max="19" width="13.81640625" bestFit="1" customWidth="1"/>
    <col min="20" max="20" width="6.90625" bestFit="1" customWidth="1"/>
    <col min="24" max="24" width="13.81640625" bestFit="1" customWidth="1"/>
  </cols>
  <sheetData>
    <row r="1" spans="1:25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240</v>
      </c>
      <c r="H1" s="1" t="s">
        <v>209</v>
      </c>
      <c r="I1" s="1" t="s">
        <v>241</v>
      </c>
      <c r="J1" s="1" t="s">
        <v>235</v>
      </c>
      <c r="K1" s="1" t="s">
        <v>236</v>
      </c>
      <c r="L1" s="1" t="s">
        <v>233</v>
      </c>
      <c r="M1" s="1" t="s">
        <v>234</v>
      </c>
      <c r="N1" s="1" t="s">
        <v>237</v>
      </c>
      <c r="O1" s="1" t="s">
        <v>238</v>
      </c>
      <c r="P1" s="1" t="s">
        <v>239</v>
      </c>
      <c r="Q1" s="1" t="s">
        <v>256</v>
      </c>
      <c r="R1" s="15" t="s">
        <v>257</v>
      </c>
    </row>
    <row r="2" spans="1:25" x14ac:dyDescent="0.35">
      <c r="A2" t="s">
        <v>3</v>
      </c>
      <c r="B2" t="s">
        <v>9</v>
      </c>
      <c r="C2">
        <v>85</v>
      </c>
      <c r="D2">
        <v>15</v>
      </c>
      <c r="E2" t="s">
        <v>5</v>
      </c>
      <c r="F2" t="str">
        <f>LEFT(IF(C2&gt;D2, A2, B2), FIND(",", IF(C2&gt;D2, A2, B2)) - 1)</f>
        <v>SINNER</v>
      </c>
      <c r="G2">
        <f>IF(F2=E2, 1, 0)</f>
        <v>1</v>
      </c>
      <c r="H2" t="s">
        <v>5</v>
      </c>
      <c r="I2">
        <f>IF(H2=E2, 1, 0)</f>
        <v>1</v>
      </c>
      <c r="J2" s="7">
        <f>1-0.035207</f>
        <v>0.96479300000000001</v>
      </c>
      <c r="K2" s="7">
        <f>1-J2</f>
        <v>3.5206999999999988E-2</v>
      </c>
      <c r="L2" t="str">
        <f>IF(G2=I2, "Empat", IF(I2=1, "Guanyem", "Perdem"))</f>
        <v>Empat</v>
      </c>
      <c r="M2" s="7">
        <f>IF(ISNUMBER(SEARCH(E2, A2)), J2-(C2/100), K2-(D2/100))</f>
        <v>0.11479300000000003</v>
      </c>
      <c r="N2" s="7">
        <f t="shared" ref="N2:O2" si="0">C2/100</f>
        <v>0.85</v>
      </c>
      <c r="O2" s="7">
        <f t="shared" si="0"/>
        <v>0.15</v>
      </c>
      <c r="P2" t="str">
        <f t="shared" ref="P2" si="1">_xlfn.TEXTBEFORE(A2, ",") &amp; " vs. " &amp; _xlfn.TEXTBEFORE(B2, ",")</f>
        <v>SINNER vs. MARTÍNEZ</v>
      </c>
      <c r="Q2" s="7">
        <f>IF(N2&gt;O2, N2, O2)</f>
        <v>0.85</v>
      </c>
      <c r="R2">
        <f>(Q2-G2)^2</f>
        <v>2.2500000000000006E-2</v>
      </c>
    </row>
    <row r="3" spans="1:25" x14ac:dyDescent="0.35">
      <c r="A3" t="s">
        <v>15</v>
      </c>
      <c r="B3" t="s">
        <v>21</v>
      </c>
      <c r="C3">
        <v>70</v>
      </c>
      <c r="D3">
        <v>30</v>
      </c>
      <c r="E3" t="s">
        <v>17</v>
      </c>
      <c r="F3" t="str">
        <f t="shared" ref="F3:H17" si="2">LEFT(IF(C3&gt;D3, A3, B3), FIND(",", IF(C3&gt;D3, A3, B3)) - 1)</f>
        <v>DIMITROV</v>
      </c>
      <c r="G3">
        <f t="shared" ref="G3:G17" si="3">IF(F3=E3, 1, 0)</f>
        <v>1</v>
      </c>
      <c r="H3" t="s">
        <v>17</v>
      </c>
      <c r="I3">
        <f t="shared" ref="I3:I17" si="4">IF(H3=E3, 1, 0)</f>
        <v>1</v>
      </c>
      <c r="J3" s="7">
        <v>0.81166700000000003</v>
      </c>
      <c r="K3" s="7">
        <f t="shared" ref="K3:K17" si="5">1-J3</f>
        <v>0.18833299999999997</v>
      </c>
      <c r="L3" t="str">
        <f t="shared" ref="L3:L17" si="6">IF(G3=I3, "Empat", IF(I3=1, "Guanyem", "Perdem"))</f>
        <v>Empat</v>
      </c>
      <c r="M3" s="7">
        <f t="shared" ref="M3:M17" si="7">IF(ISNUMBER(SEARCH(E3, A3)), J3-(C3/100), K3-(D3/100))</f>
        <v>0.11166700000000007</v>
      </c>
      <c r="N3" s="7">
        <f t="shared" ref="N3:N17" si="8">C3/100</f>
        <v>0.7</v>
      </c>
      <c r="O3" s="7">
        <f t="shared" ref="O3:O17" si="9">D3/100</f>
        <v>0.3</v>
      </c>
      <c r="P3" t="str">
        <f t="shared" ref="P3:P17" si="10">_xlfn.TEXTBEFORE(A3, ",") &amp; " vs. " &amp; _xlfn.TEXTBEFORE(B3, ",")</f>
        <v>DIMITROV vs. OFNER</v>
      </c>
      <c r="Q3" s="7">
        <f t="shared" ref="Q3:Q17" si="11">IF(N3&gt;O3, N3, O3)</f>
        <v>0.7</v>
      </c>
      <c r="R3">
        <f t="shared" ref="R3:R17" si="12">(Q3-G3)^2</f>
        <v>9.0000000000000024E-2</v>
      </c>
    </row>
    <row r="4" spans="1:25" ht="15" thickBot="1" x14ac:dyDescent="0.4">
      <c r="A4" t="s">
        <v>27</v>
      </c>
      <c r="B4" t="s">
        <v>34</v>
      </c>
      <c r="C4">
        <v>68</v>
      </c>
      <c r="D4">
        <v>32</v>
      </c>
      <c r="E4" t="s">
        <v>29</v>
      </c>
      <c r="F4" t="str">
        <f t="shared" si="2"/>
        <v>SHELTON</v>
      </c>
      <c r="G4">
        <f t="shared" si="3"/>
        <v>1</v>
      </c>
      <c r="H4" t="s">
        <v>29</v>
      </c>
      <c r="I4">
        <f t="shared" si="4"/>
        <v>1</v>
      </c>
      <c r="J4" s="7">
        <f>1-0.242251</f>
        <v>0.75774900000000001</v>
      </c>
      <c r="K4" s="7">
        <f t="shared" si="5"/>
        <v>0.24225099999999999</v>
      </c>
      <c r="L4" t="str">
        <f t="shared" si="6"/>
        <v>Empat</v>
      </c>
      <c r="M4" s="7">
        <f t="shared" si="7"/>
        <v>7.7748999999999957E-2</v>
      </c>
      <c r="N4" s="7">
        <f t="shared" si="8"/>
        <v>0.68</v>
      </c>
      <c r="O4" s="7">
        <f t="shared" si="9"/>
        <v>0.32</v>
      </c>
      <c r="P4" t="str">
        <f t="shared" si="10"/>
        <v>SHELTON vs. FUCSOVICS</v>
      </c>
      <c r="Q4" s="7">
        <f t="shared" si="11"/>
        <v>0.68</v>
      </c>
      <c r="R4">
        <f t="shared" si="12"/>
        <v>0.10239999999999996</v>
      </c>
    </row>
    <row r="5" spans="1:25" x14ac:dyDescent="0.35">
      <c r="A5" t="s">
        <v>39</v>
      </c>
      <c r="B5" t="s">
        <v>46</v>
      </c>
      <c r="C5">
        <v>51</v>
      </c>
      <c r="D5">
        <v>49</v>
      </c>
      <c r="E5" t="s">
        <v>47</v>
      </c>
      <c r="F5" t="str">
        <f t="shared" si="2"/>
        <v>NAKASHIMA</v>
      </c>
      <c r="G5">
        <f t="shared" si="3"/>
        <v>0</v>
      </c>
      <c r="H5" t="s">
        <v>41</v>
      </c>
      <c r="I5">
        <f t="shared" si="4"/>
        <v>0</v>
      </c>
      <c r="J5" s="7">
        <v>0.69072900000000004</v>
      </c>
      <c r="K5" s="7">
        <f t="shared" si="5"/>
        <v>0.30927099999999996</v>
      </c>
      <c r="L5" t="str">
        <f t="shared" si="6"/>
        <v>Empat</v>
      </c>
      <c r="M5" s="7">
        <f t="shared" si="7"/>
        <v>-0.18072900000000003</v>
      </c>
      <c r="N5" s="7">
        <f t="shared" si="8"/>
        <v>0.51</v>
      </c>
      <c r="O5" s="7">
        <f t="shared" si="9"/>
        <v>0.49</v>
      </c>
      <c r="P5" t="str">
        <f t="shared" si="10"/>
        <v>NAKASHIMA vs. SONEGO</v>
      </c>
      <c r="Q5" s="7">
        <f t="shared" si="11"/>
        <v>0.51</v>
      </c>
      <c r="R5">
        <f t="shared" si="12"/>
        <v>0.2601</v>
      </c>
      <c r="X5" s="3" t="s">
        <v>199</v>
      </c>
      <c r="Y5" s="4">
        <v>11</v>
      </c>
    </row>
    <row r="6" spans="1:25" ht="15" thickBot="1" x14ac:dyDescent="0.4">
      <c r="A6" t="s">
        <v>55</v>
      </c>
      <c r="B6" t="s">
        <v>60</v>
      </c>
      <c r="C6">
        <v>43</v>
      </c>
      <c r="D6">
        <v>57</v>
      </c>
      <c r="E6" t="s">
        <v>56</v>
      </c>
      <c r="F6" t="str">
        <f t="shared" si="2"/>
        <v>MUNAR</v>
      </c>
      <c r="G6">
        <f t="shared" si="3"/>
        <v>0</v>
      </c>
      <c r="H6" t="s">
        <v>56</v>
      </c>
      <c r="I6">
        <f t="shared" si="4"/>
        <v>1</v>
      </c>
      <c r="J6" s="7">
        <v>0.662385</v>
      </c>
      <c r="K6" s="7">
        <f t="shared" si="5"/>
        <v>0.337615</v>
      </c>
      <c r="L6" t="str">
        <f t="shared" si="6"/>
        <v>Guanyem</v>
      </c>
      <c r="M6" s="7">
        <f t="shared" si="7"/>
        <v>0.23238500000000001</v>
      </c>
      <c r="N6" s="7">
        <f t="shared" si="8"/>
        <v>0.43</v>
      </c>
      <c r="O6" s="7">
        <f t="shared" si="9"/>
        <v>0.56999999999999995</v>
      </c>
      <c r="P6" t="str">
        <f t="shared" si="10"/>
        <v>CILIC vs. MUNAR</v>
      </c>
      <c r="Q6" s="7">
        <f t="shared" si="11"/>
        <v>0.56999999999999995</v>
      </c>
      <c r="R6">
        <f t="shared" si="12"/>
        <v>0.32489999999999997</v>
      </c>
      <c r="X6" s="5" t="s">
        <v>200</v>
      </c>
      <c r="Y6" s="6">
        <f>11/16</f>
        <v>0.6875</v>
      </c>
    </row>
    <row r="7" spans="1:25" ht="15" thickBot="1" x14ac:dyDescent="0.4">
      <c r="A7" t="s">
        <v>63</v>
      </c>
      <c r="B7" t="s">
        <v>73</v>
      </c>
      <c r="C7">
        <v>42</v>
      </c>
      <c r="D7">
        <v>58</v>
      </c>
      <c r="E7" t="s">
        <v>65</v>
      </c>
      <c r="F7" t="str">
        <f t="shared" si="2"/>
        <v>MENSIK</v>
      </c>
      <c r="G7">
        <f t="shared" si="3"/>
        <v>0</v>
      </c>
      <c r="H7" t="s">
        <v>74</v>
      </c>
      <c r="I7">
        <f t="shared" si="4"/>
        <v>0</v>
      </c>
      <c r="J7" s="7">
        <v>0.37805800000000001</v>
      </c>
      <c r="K7" s="7">
        <f t="shared" si="5"/>
        <v>0.62194199999999999</v>
      </c>
      <c r="L7" t="str">
        <f t="shared" si="6"/>
        <v>Empat</v>
      </c>
      <c r="M7" s="7">
        <f t="shared" si="7"/>
        <v>-4.1941999999999979E-2</v>
      </c>
      <c r="N7" s="7">
        <f t="shared" si="8"/>
        <v>0.42</v>
      </c>
      <c r="O7" s="7">
        <f t="shared" si="9"/>
        <v>0.57999999999999996</v>
      </c>
      <c r="P7" t="str">
        <f t="shared" si="10"/>
        <v>COBOLLI vs. MENSIK</v>
      </c>
      <c r="Q7" s="7">
        <f t="shared" si="11"/>
        <v>0.57999999999999996</v>
      </c>
      <c r="R7">
        <f t="shared" si="12"/>
        <v>0.33639999999999998</v>
      </c>
      <c r="X7" s="5" t="s">
        <v>201</v>
      </c>
      <c r="Y7" s="6">
        <f>15/16</f>
        <v>0.9375</v>
      </c>
    </row>
    <row r="8" spans="1:25" ht="15" thickBot="1" x14ac:dyDescent="0.4">
      <c r="A8" t="s">
        <v>75</v>
      </c>
      <c r="B8" t="s">
        <v>82</v>
      </c>
      <c r="C8">
        <v>72</v>
      </c>
      <c r="D8">
        <v>28</v>
      </c>
      <c r="E8" t="s">
        <v>77</v>
      </c>
      <c r="F8" t="str">
        <f t="shared" si="2"/>
        <v>DE MINAUR</v>
      </c>
      <c r="G8">
        <f t="shared" si="3"/>
        <v>1</v>
      </c>
      <c r="H8" t="s">
        <v>77</v>
      </c>
      <c r="I8">
        <f t="shared" si="4"/>
        <v>1</v>
      </c>
      <c r="J8" s="7">
        <v>0.89724199999999998</v>
      </c>
      <c r="K8" s="7">
        <f t="shared" si="5"/>
        <v>0.10275800000000002</v>
      </c>
      <c r="L8" t="str">
        <f t="shared" si="6"/>
        <v>Empat</v>
      </c>
      <c r="M8" s="7">
        <f t="shared" si="7"/>
        <v>0.17724200000000001</v>
      </c>
      <c r="N8" s="7">
        <f t="shared" si="8"/>
        <v>0.72</v>
      </c>
      <c r="O8" s="7">
        <f t="shared" si="9"/>
        <v>0.28000000000000003</v>
      </c>
      <c r="P8" t="str">
        <f t="shared" si="10"/>
        <v>DE MINAUR vs. HOLMGREN</v>
      </c>
      <c r="Q8" s="7">
        <f t="shared" si="11"/>
        <v>0.72</v>
      </c>
      <c r="R8">
        <f t="shared" si="12"/>
        <v>7.8400000000000011E-2</v>
      </c>
      <c r="X8" s="5" t="s">
        <v>206</v>
      </c>
      <c r="Y8" s="6">
        <f>12/16</f>
        <v>0.75</v>
      </c>
    </row>
    <row r="9" spans="1:25" ht="15" thickBot="1" x14ac:dyDescent="0.4">
      <c r="A9" t="s">
        <v>88</v>
      </c>
      <c r="B9" t="s">
        <v>97</v>
      </c>
      <c r="C9">
        <v>23</v>
      </c>
      <c r="D9">
        <v>77</v>
      </c>
      <c r="E9" t="s">
        <v>98</v>
      </c>
      <c r="F9" t="str">
        <f t="shared" si="2"/>
        <v>DJOKOVIC</v>
      </c>
      <c r="G9">
        <f t="shared" si="3"/>
        <v>1</v>
      </c>
      <c r="H9" t="s">
        <v>98</v>
      </c>
      <c r="I9">
        <f t="shared" si="4"/>
        <v>1</v>
      </c>
      <c r="J9" s="7">
        <f>1-0.988624</f>
        <v>1.1376000000000053E-2</v>
      </c>
      <c r="K9" s="7">
        <f t="shared" si="5"/>
        <v>0.98862399999999995</v>
      </c>
      <c r="L9" t="str">
        <f t="shared" si="6"/>
        <v>Empat</v>
      </c>
      <c r="M9" s="7">
        <f t="shared" si="7"/>
        <v>0.21862399999999993</v>
      </c>
      <c r="N9" s="7">
        <f t="shared" si="8"/>
        <v>0.23</v>
      </c>
      <c r="O9" s="7">
        <f t="shared" si="9"/>
        <v>0.77</v>
      </c>
      <c r="P9" t="str">
        <f t="shared" si="10"/>
        <v>KECMANOVIC vs. DJOKOVIC</v>
      </c>
      <c r="Q9" s="7">
        <f t="shared" si="11"/>
        <v>0.77</v>
      </c>
      <c r="R9">
        <f t="shared" si="12"/>
        <v>5.2899999999999989E-2</v>
      </c>
      <c r="X9" s="5" t="s">
        <v>206</v>
      </c>
      <c r="Y9" s="6">
        <f>12/16</f>
        <v>0.75</v>
      </c>
    </row>
    <row r="10" spans="1:25" ht="15" thickBot="1" x14ac:dyDescent="0.4">
      <c r="A10" t="s">
        <v>99</v>
      </c>
      <c r="B10" t="s">
        <v>109</v>
      </c>
      <c r="C10">
        <v>65</v>
      </c>
      <c r="D10">
        <v>35</v>
      </c>
      <c r="E10" t="s">
        <v>101</v>
      </c>
      <c r="F10" t="str">
        <f t="shared" si="2"/>
        <v>FRITZ</v>
      </c>
      <c r="G10">
        <f t="shared" si="3"/>
        <v>1</v>
      </c>
      <c r="H10" t="s">
        <v>101</v>
      </c>
      <c r="I10">
        <f t="shared" si="4"/>
        <v>1</v>
      </c>
      <c r="J10" s="7">
        <f>1-0.292478</f>
        <v>0.70752199999999998</v>
      </c>
      <c r="K10" s="7">
        <f t="shared" si="5"/>
        <v>0.29247800000000002</v>
      </c>
      <c r="L10" t="str">
        <f t="shared" si="6"/>
        <v>Empat</v>
      </c>
      <c r="M10" s="7">
        <f t="shared" si="7"/>
        <v>5.7521999999999962E-2</v>
      </c>
      <c r="N10" s="7">
        <f t="shared" si="8"/>
        <v>0.65</v>
      </c>
      <c r="O10" s="7">
        <f t="shared" si="9"/>
        <v>0.35</v>
      </c>
      <c r="P10" t="str">
        <f t="shared" si="10"/>
        <v>FRITZ vs. DAVIDOVICH FOKINA</v>
      </c>
      <c r="Q10" s="7">
        <f t="shared" si="11"/>
        <v>0.65</v>
      </c>
      <c r="R10">
        <f t="shared" si="12"/>
        <v>0.12249999999999998</v>
      </c>
    </row>
    <row r="11" spans="1:25" x14ac:dyDescent="0.35">
      <c r="A11" t="s">
        <v>114</v>
      </c>
      <c r="B11" t="s">
        <v>118</v>
      </c>
      <c r="C11">
        <v>52</v>
      </c>
      <c r="D11">
        <v>48</v>
      </c>
      <c r="E11" t="s">
        <v>242</v>
      </c>
      <c r="F11" t="str">
        <f t="shared" si="2"/>
        <v>DARDERI</v>
      </c>
      <c r="G11">
        <f t="shared" si="3"/>
        <v>0</v>
      </c>
      <c r="H11" t="s">
        <v>242</v>
      </c>
      <c r="I11">
        <f t="shared" si="4"/>
        <v>1</v>
      </c>
      <c r="J11" s="7">
        <v>0.384932</v>
      </c>
      <c r="K11" s="7">
        <f t="shared" si="5"/>
        <v>0.61506799999999995</v>
      </c>
      <c r="L11" t="str">
        <f t="shared" si="6"/>
        <v>Guanyem</v>
      </c>
      <c r="M11" s="7">
        <f t="shared" si="7"/>
        <v>0.13506799999999997</v>
      </c>
      <c r="N11" s="7">
        <f t="shared" si="8"/>
        <v>0.52</v>
      </c>
      <c r="O11" s="7">
        <f t="shared" si="9"/>
        <v>0.48</v>
      </c>
      <c r="P11" t="str">
        <f t="shared" si="10"/>
        <v>DARDERI vs. THOMPSON</v>
      </c>
      <c r="Q11" s="7">
        <f t="shared" si="11"/>
        <v>0.52</v>
      </c>
      <c r="R11">
        <f t="shared" si="12"/>
        <v>0.27040000000000003</v>
      </c>
      <c r="X11" s="3" t="s">
        <v>259</v>
      </c>
      <c r="Y11" s="4">
        <f>AVERAGE(R2:R17)</f>
        <v>0.18175624999999995</v>
      </c>
    </row>
    <row r="12" spans="1:25" ht="15" thickBot="1" x14ac:dyDescent="0.4">
      <c r="A12" t="s">
        <v>124</v>
      </c>
      <c r="B12" t="s">
        <v>133</v>
      </c>
      <c r="C12">
        <v>48</v>
      </c>
      <c r="D12">
        <v>52</v>
      </c>
      <c r="E12" t="s">
        <v>134</v>
      </c>
      <c r="F12" t="str">
        <f t="shared" si="2"/>
        <v>KHACHANOV</v>
      </c>
      <c r="G12">
        <f t="shared" si="3"/>
        <v>1</v>
      </c>
      <c r="H12" t="s">
        <v>134</v>
      </c>
      <c r="I12">
        <f t="shared" si="4"/>
        <v>1</v>
      </c>
      <c r="J12" s="7">
        <v>0.366365</v>
      </c>
      <c r="K12" s="7">
        <f t="shared" si="5"/>
        <v>0.63363499999999995</v>
      </c>
      <c r="L12" t="str">
        <f t="shared" si="6"/>
        <v>Empat</v>
      </c>
      <c r="M12" s="7">
        <f t="shared" si="7"/>
        <v>0.11363499999999993</v>
      </c>
      <c r="N12" s="7">
        <f t="shared" si="8"/>
        <v>0.48</v>
      </c>
      <c r="O12" s="7">
        <f t="shared" si="9"/>
        <v>0.52</v>
      </c>
      <c r="P12" t="str">
        <f t="shared" si="10"/>
        <v>BORGES vs. KHACHANOV</v>
      </c>
      <c r="Q12" s="7">
        <f t="shared" si="11"/>
        <v>0.52</v>
      </c>
      <c r="R12">
        <f t="shared" si="12"/>
        <v>0.23039999999999999</v>
      </c>
      <c r="X12" s="5" t="s">
        <v>260</v>
      </c>
      <c r="Y12" s="16">
        <v>0.2387</v>
      </c>
    </row>
    <row r="13" spans="1:25" x14ac:dyDescent="0.35">
      <c r="A13" t="s">
        <v>136</v>
      </c>
      <c r="B13" t="s">
        <v>144</v>
      </c>
      <c r="C13">
        <v>43</v>
      </c>
      <c r="D13">
        <v>57</v>
      </c>
      <c r="E13" t="s">
        <v>146</v>
      </c>
      <c r="F13" t="str">
        <f t="shared" si="2"/>
        <v>RINDERKNECH</v>
      </c>
      <c r="G13">
        <f t="shared" si="3"/>
        <v>1</v>
      </c>
      <c r="H13" t="s">
        <v>137</v>
      </c>
      <c r="I13">
        <f t="shared" si="4"/>
        <v>0</v>
      </c>
      <c r="J13" s="7">
        <f>1-0.445872</f>
        <v>0.55412799999999995</v>
      </c>
      <c r="K13" s="7">
        <f t="shared" si="5"/>
        <v>0.44587200000000005</v>
      </c>
      <c r="L13" t="str">
        <f t="shared" si="6"/>
        <v>Perdem</v>
      </c>
      <c r="M13" s="7">
        <f t="shared" si="7"/>
        <v>-0.12412799999999991</v>
      </c>
      <c r="N13" s="7">
        <f t="shared" si="8"/>
        <v>0.43</v>
      </c>
      <c r="O13" s="7">
        <f t="shared" si="9"/>
        <v>0.56999999999999995</v>
      </c>
      <c r="P13" t="str">
        <f t="shared" si="10"/>
        <v>MAJCHRZAK vs. RINDERKNECH</v>
      </c>
      <c r="Q13" s="7">
        <f t="shared" si="11"/>
        <v>0.56999999999999995</v>
      </c>
      <c r="R13">
        <f t="shared" si="12"/>
        <v>0.18490000000000004</v>
      </c>
    </row>
    <row r="14" spans="1:25" x14ac:dyDescent="0.35">
      <c r="A14" t="s">
        <v>148</v>
      </c>
      <c r="B14" t="s">
        <v>154</v>
      </c>
      <c r="C14">
        <v>35</v>
      </c>
      <c r="D14">
        <v>65</v>
      </c>
      <c r="E14" t="s">
        <v>149</v>
      </c>
      <c r="F14" t="str">
        <f t="shared" si="2"/>
        <v>FONSECA</v>
      </c>
      <c r="G14">
        <f t="shared" si="3"/>
        <v>0</v>
      </c>
      <c r="H14" t="s">
        <v>155</v>
      </c>
      <c r="I14">
        <f t="shared" si="4"/>
        <v>0</v>
      </c>
      <c r="J14" s="7">
        <f>1-0.736691</f>
        <v>0.26330900000000002</v>
      </c>
      <c r="K14" s="7">
        <f t="shared" si="5"/>
        <v>0.73669099999999998</v>
      </c>
      <c r="L14" t="str">
        <f t="shared" si="6"/>
        <v>Empat</v>
      </c>
      <c r="M14" s="7">
        <f t="shared" si="7"/>
        <v>-8.6690999999999963E-2</v>
      </c>
      <c r="N14" s="7">
        <f t="shared" si="8"/>
        <v>0.35</v>
      </c>
      <c r="O14" s="7">
        <f t="shared" si="9"/>
        <v>0.65</v>
      </c>
      <c r="P14" t="str">
        <f t="shared" si="10"/>
        <v>JARRY vs. FONSECA</v>
      </c>
      <c r="Q14" s="7">
        <f t="shared" si="11"/>
        <v>0.65</v>
      </c>
      <c r="R14">
        <f t="shared" si="12"/>
        <v>0.42250000000000004</v>
      </c>
    </row>
    <row r="15" spans="1:25" x14ac:dyDescent="0.35">
      <c r="A15" t="s">
        <v>162</v>
      </c>
      <c r="B15" t="s">
        <v>165</v>
      </c>
      <c r="C15">
        <v>56</v>
      </c>
      <c r="D15">
        <v>44</v>
      </c>
      <c r="E15" t="s">
        <v>167</v>
      </c>
      <c r="F15" t="str">
        <f t="shared" si="2"/>
        <v>BELLUCCI</v>
      </c>
      <c r="G15">
        <f t="shared" si="3"/>
        <v>0</v>
      </c>
      <c r="H15" t="s">
        <v>167</v>
      </c>
      <c r="I15">
        <f t="shared" si="4"/>
        <v>1</v>
      </c>
      <c r="J15" s="7">
        <v>0.30677500000000002</v>
      </c>
      <c r="K15" s="7">
        <f t="shared" si="5"/>
        <v>0.69322499999999998</v>
      </c>
      <c r="L15" t="str">
        <f t="shared" si="6"/>
        <v>Guanyem</v>
      </c>
      <c r="M15" s="7">
        <f t="shared" si="7"/>
        <v>0.25322499999999998</v>
      </c>
      <c r="N15" s="7">
        <f t="shared" si="8"/>
        <v>0.56000000000000005</v>
      </c>
      <c r="O15" s="7">
        <f t="shared" si="9"/>
        <v>0.44</v>
      </c>
      <c r="P15" t="str">
        <f t="shared" si="10"/>
        <v>BELLUCCI vs. NORRIE</v>
      </c>
      <c r="Q15" s="7">
        <f t="shared" si="11"/>
        <v>0.56000000000000005</v>
      </c>
      <c r="R15">
        <f t="shared" si="12"/>
        <v>0.31360000000000005</v>
      </c>
    </row>
    <row r="16" spans="1:25" x14ac:dyDescent="0.35">
      <c r="A16" t="s">
        <v>171</v>
      </c>
      <c r="B16" t="s">
        <v>176</v>
      </c>
      <c r="C16">
        <v>71</v>
      </c>
      <c r="D16">
        <v>29</v>
      </c>
      <c r="E16" t="s">
        <v>173</v>
      </c>
      <c r="F16" t="str">
        <f t="shared" si="2"/>
        <v>RUBLEV</v>
      </c>
      <c r="G16">
        <f t="shared" si="3"/>
        <v>1</v>
      </c>
      <c r="H16" t="s">
        <v>173</v>
      </c>
      <c r="I16">
        <f t="shared" si="4"/>
        <v>1</v>
      </c>
      <c r="J16" s="7">
        <f>1-0.355816</f>
        <v>0.64418399999999998</v>
      </c>
      <c r="K16" s="7">
        <f t="shared" si="5"/>
        <v>0.35581600000000002</v>
      </c>
      <c r="L16" t="str">
        <f t="shared" si="6"/>
        <v>Empat</v>
      </c>
      <c r="M16" s="7">
        <f t="shared" si="7"/>
        <v>-6.5815999999999986E-2</v>
      </c>
      <c r="N16" s="7">
        <f t="shared" si="8"/>
        <v>0.71</v>
      </c>
      <c r="O16" s="7">
        <f t="shared" si="9"/>
        <v>0.28999999999999998</v>
      </c>
      <c r="P16" t="str">
        <f t="shared" si="10"/>
        <v>RUBLEV vs. MANNARINO</v>
      </c>
      <c r="Q16" s="7">
        <f t="shared" si="11"/>
        <v>0.71</v>
      </c>
      <c r="R16">
        <f t="shared" si="12"/>
        <v>8.4100000000000022E-2</v>
      </c>
    </row>
    <row r="17" spans="1:18" x14ac:dyDescent="0.35">
      <c r="A17" t="s">
        <v>185</v>
      </c>
      <c r="B17" t="s">
        <v>192</v>
      </c>
      <c r="C17">
        <v>11</v>
      </c>
      <c r="D17">
        <v>89</v>
      </c>
      <c r="E17" t="s">
        <v>193</v>
      </c>
      <c r="F17" t="str">
        <f t="shared" si="2"/>
        <v>ALCARAZ</v>
      </c>
      <c r="G17">
        <f t="shared" si="3"/>
        <v>1</v>
      </c>
      <c r="H17" t="s">
        <v>193</v>
      </c>
      <c r="I17">
        <f t="shared" si="4"/>
        <v>1</v>
      </c>
      <c r="J17" s="7">
        <f>1-0.950917</f>
        <v>4.9082999999999988E-2</v>
      </c>
      <c r="K17" s="7">
        <f t="shared" si="5"/>
        <v>0.95091700000000001</v>
      </c>
      <c r="L17" t="str">
        <f t="shared" si="6"/>
        <v>Empat</v>
      </c>
      <c r="M17" s="7">
        <f t="shared" si="7"/>
        <v>6.0916999999999999E-2</v>
      </c>
      <c r="N17" s="7">
        <f t="shared" si="8"/>
        <v>0.11</v>
      </c>
      <c r="O17" s="7">
        <f t="shared" si="9"/>
        <v>0.89</v>
      </c>
      <c r="P17" t="str">
        <f t="shared" si="10"/>
        <v>STRUFF vs. ALCARAZ</v>
      </c>
      <c r="Q17" s="7">
        <f t="shared" si="11"/>
        <v>0.89</v>
      </c>
      <c r="R17">
        <f t="shared" si="12"/>
        <v>1.2099999999999998E-2</v>
      </c>
    </row>
  </sheetData>
  <autoFilter ref="A1:G17" xr:uid="{ACEA3751-FF78-4C3C-8ABE-F983B99484C6}">
    <sortState xmlns:xlrd2="http://schemas.microsoft.com/office/spreadsheetml/2017/richdata2" ref="A2:G17">
      <sortCondition ref="A1:A17"/>
    </sortState>
  </autoFilter>
  <conditionalFormatting sqref="G2:G17">
    <cfRule type="cellIs" dxfId="50" priority="11" operator="equal">
      <formula>0</formula>
    </cfRule>
    <cfRule type="cellIs" dxfId="49" priority="12" operator="equal">
      <formula>1</formula>
    </cfRule>
  </conditionalFormatting>
  <conditionalFormatting sqref="J1:P1">
    <cfRule type="cellIs" dxfId="48" priority="9" operator="equal">
      <formula>0</formula>
    </cfRule>
    <cfRule type="cellIs" dxfId="47" priority="10" operator="equal">
      <formula>1</formula>
    </cfRule>
  </conditionalFormatting>
  <conditionalFormatting sqref="I2:I17">
    <cfRule type="cellIs" dxfId="46" priority="7" operator="equal">
      <formula>0</formula>
    </cfRule>
    <cfRule type="cellIs" dxfId="45" priority="8" operator="equal">
      <formula>1</formula>
    </cfRule>
  </conditionalFormatting>
  <conditionalFormatting sqref="L2:L17">
    <cfRule type="containsText" dxfId="44" priority="4" operator="containsText" text="Perdem">
      <formula>NOT(ISERROR(SEARCH("Perdem",L2)))</formula>
    </cfRule>
    <cfRule type="containsText" dxfId="43" priority="5" operator="containsText" text="Guanyem">
      <formula>NOT(ISERROR(SEARCH("Guanyem",L2)))</formula>
    </cfRule>
    <cfRule type="containsText" dxfId="42" priority="6" operator="containsText" text="Empat">
      <formula>NOT(ISERROR(SEARCH("Empat",L2)))</formula>
    </cfRule>
  </conditionalFormatting>
  <conditionalFormatting sqref="M2:M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ellIs" dxfId="41" priority="1" operator="equal">
      <formula>0</formula>
    </cfRule>
    <cfRule type="cellIs" dxfId="40" priority="2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FC45-B22C-4AD5-9F0B-B6BE598565A3}">
  <dimension ref="A1:W10"/>
  <sheetViews>
    <sheetView topLeftCell="I1" workbookViewId="0">
      <pane ySplit="1" topLeftCell="A2" activePane="bottomLeft" state="frozen"/>
      <selection pane="bottomLeft" activeCell="W9" sqref="W9"/>
    </sheetView>
  </sheetViews>
  <sheetFormatPr defaultColWidth="8.81640625" defaultRowHeight="14.5" x14ac:dyDescent="0.35"/>
  <cols>
    <col min="1" max="1" width="17.36328125" bestFit="1" customWidth="1"/>
    <col min="2" max="2" width="16.81640625" bestFit="1" customWidth="1"/>
    <col min="3" max="4" width="13" bestFit="1" customWidth="1"/>
    <col min="5" max="5" width="11.453125" bestFit="1" customWidth="1"/>
    <col min="6" max="6" width="10.36328125" bestFit="1" customWidth="1"/>
    <col min="7" max="7" width="5.1796875" bestFit="1" customWidth="1"/>
    <col min="8" max="8" width="11.54296875" bestFit="1" customWidth="1"/>
    <col min="10" max="10" width="13.81640625" bestFit="1" customWidth="1"/>
    <col min="16" max="16" width="24.6328125" bestFit="1" customWidth="1"/>
    <col min="18" max="18" width="13.81640625" bestFit="1" customWidth="1"/>
    <col min="22" max="22" width="13.816406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  <c r="H1" s="1" t="s">
        <v>209</v>
      </c>
      <c r="I1" s="1" t="s">
        <v>241</v>
      </c>
      <c r="J1" s="1" t="s">
        <v>235</v>
      </c>
      <c r="K1" s="1" t="s">
        <v>236</v>
      </c>
      <c r="L1" s="1" t="s">
        <v>233</v>
      </c>
      <c r="M1" s="1" t="s">
        <v>234</v>
      </c>
      <c r="N1" s="1" t="s">
        <v>237</v>
      </c>
      <c r="O1" s="1" t="s">
        <v>238</v>
      </c>
      <c r="P1" s="1" t="s">
        <v>239</v>
      </c>
      <c r="Q1" s="1" t="s">
        <v>256</v>
      </c>
      <c r="R1" s="15" t="s">
        <v>257</v>
      </c>
    </row>
    <row r="2" spans="1:23" ht="15" thickBot="1" x14ac:dyDescent="0.4">
      <c r="A2" t="s">
        <v>3</v>
      </c>
      <c r="B2" t="s">
        <v>15</v>
      </c>
      <c r="C2">
        <v>86</v>
      </c>
      <c r="D2">
        <v>14</v>
      </c>
      <c r="E2" t="s">
        <v>5</v>
      </c>
      <c r="F2" t="str">
        <f>LEFT(IF(C2&gt;D2, A2, B2), FIND(",", IF(C2&gt;D2, A2, B2)) - 1)</f>
        <v>SINNER</v>
      </c>
      <c r="G2">
        <f>IF(F2=E2, 1, 0)</f>
        <v>1</v>
      </c>
      <c r="H2" t="s">
        <v>5</v>
      </c>
      <c r="I2">
        <f>IF(H2=E2, 1, 0)</f>
        <v>1</v>
      </c>
      <c r="J2" s="7">
        <f>1-0.063651</f>
        <v>0.93634899999999999</v>
      </c>
      <c r="K2" s="7">
        <f>1-J2</f>
        <v>6.3651000000000013E-2</v>
      </c>
      <c r="L2" t="str">
        <f>IF(G2=I2, "Empat", IF(I2=1, "Guanyem", "Perdem"))</f>
        <v>Empat</v>
      </c>
      <c r="M2" s="7">
        <f>IF(ISNUMBER(SEARCH(E2, A2)), J2-(C2/100), K2-(D2/100))</f>
        <v>7.6349E-2</v>
      </c>
      <c r="N2" s="7">
        <f t="shared" ref="N2:O2" si="0">C2/100</f>
        <v>0.86</v>
      </c>
      <c r="O2" s="7">
        <f t="shared" si="0"/>
        <v>0.14000000000000001</v>
      </c>
      <c r="P2" t="str">
        <f t="shared" ref="P2" si="1">_xlfn.TEXTBEFORE(A2, ",") &amp; " vs. " &amp; _xlfn.TEXTBEFORE(B2, ",")</f>
        <v>SINNER vs. DIMITROV</v>
      </c>
      <c r="Q2" s="7">
        <f>IF(N2&gt;O2, N2, O2)</f>
        <v>0.86</v>
      </c>
      <c r="R2">
        <f>(Q2-G2)^2</f>
        <v>1.9600000000000003E-2</v>
      </c>
    </row>
    <row r="3" spans="1:23" x14ac:dyDescent="0.35">
      <c r="A3" t="s">
        <v>27</v>
      </c>
      <c r="B3" t="s">
        <v>46</v>
      </c>
      <c r="C3">
        <v>63</v>
      </c>
      <c r="D3">
        <v>37</v>
      </c>
      <c r="E3" t="s">
        <v>29</v>
      </c>
      <c r="F3" t="str">
        <f t="shared" ref="F3:F9" si="2">LEFT(IF(C3&gt;D3, A3, B3), FIND(",", IF(C3&gt;D3, A3, B3)) - 1)</f>
        <v>SHELTON</v>
      </c>
      <c r="G3">
        <f t="shared" ref="G3:G9" si="3">IF(F3=E3, 1, 0)</f>
        <v>1</v>
      </c>
      <c r="H3" t="s">
        <v>29</v>
      </c>
      <c r="I3">
        <f t="shared" ref="I3:I9" si="4">IF(H3=E3, 1, 0)</f>
        <v>1</v>
      </c>
      <c r="J3" s="7">
        <v>0.63477600000000001</v>
      </c>
      <c r="K3" s="7">
        <f t="shared" ref="K3:K9" si="5">1-J3</f>
        <v>0.36522399999999999</v>
      </c>
      <c r="L3" t="str">
        <f t="shared" ref="L3:L9" si="6">IF(G3=I3, "Empat", IF(I3=1, "Guanyem", "Perdem"))</f>
        <v>Empat</v>
      </c>
      <c r="M3" s="7">
        <f t="shared" ref="M3:M9" si="7">IF(ISNUMBER(SEARCH(E3, A3)), J3-(C3/100), K3-(D3/100))</f>
        <v>4.7760000000000025E-3</v>
      </c>
      <c r="N3" s="7">
        <f t="shared" ref="N3:N9" si="8">C3/100</f>
        <v>0.63</v>
      </c>
      <c r="O3" s="7">
        <f t="shared" ref="O3:O9" si="9">D3/100</f>
        <v>0.37</v>
      </c>
      <c r="P3" t="str">
        <f t="shared" ref="P3:P9" si="10">_xlfn.TEXTBEFORE(A3, ",") &amp; " vs. " &amp; _xlfn.TEXTBEFORE(B3, ",")</f>
        <v>SHELTON vs. SONEGO</v>
      </c>
      <c r="Q3" s="7">
        <f t="shared" ref="Q3:Q9" si="11">IF(N3&gt;O3, N3, O3)</f>
        <v>0.63</v>
      </c>
      <c r="R3">
        <f t="shared" ref="R3:R9" si="12">(Q3-G3)^2</f>
        <v>0.13689999999999999</v>
      </c>
      <c r="V3" s="3" t="s">
        <v>199</v>
      </c>
      <c r="W3" s="4">
        <v>8</v>
      </c>
    </row>
    <row r="4" spans="1:23" ht="15" thickBot="1" x14ac:dyDescent="0.4">
      <c r="A4" t="s">
        <v>55</v>
      </c>
      <c r="B4" t="s">
        <v>63</v>
      </c>
      <c r="C4">
        <v>32</v>
      </c>
      <c r="D4">
        <v>68</v>
      </c>
      <c r="E4" t="s">
        <v>65</v>
      </c>
      <c r="F4" t="str">
        <f t="shared" si="2"/>
        <v>COBOLLI</v>
      </c>
      <c r="G4">
        <f t="shared" si="3"/>
        <v>1</v>
      </c>
      <c r="H4" t="s">
        <v>56</v>
      </c>
      <c r="I4">
        <f t="shared" si="4"/>
        <v>0</v>
      </c>
      <c r="J4" s="7">
        <v>0.67331799999999997</v>
      </c>
      <c r="K4" s="7">
        <f t="shared" si="5"/>
        <v>0.32668200000000003</v>
      </c>
      <c r="L4" t="str">
        <f t="shared" si="6"/>
        <v>Perdem</v>
      </c>
      <c r="M4" s="7">
        <f t="shared" si="7"/>
        <v>-0.35331800000000002</v>
      </c>
      <c r="N4" s="7">
        <f t="shared" si="8"/>
        <v>0.32</v>
      </c>
      <c r="O4" s="7">
        <f t="shared" si="9"/>
        <v>0.68</v>
      </c>
      <c r="P4" t="str">
        <f t="shared" si="10"/>
        <v>CILIC vs. COBOLLI</v>
      </c>
      <c r="Q4" s="7">
        <f t="shared" si="11"/>
        <v>0.68</v>
      </c>
      <c r="R4">
        <f t="shared" si="12"/>
        <v>0.10239999999999996</v>
      </c>
      <c r="V4" s="5" t="s">
        <v>200</v>
      </c>
      <c r="W4" s="6">
        <f>8/8</f>
        <v>1</v>
      </c>
    </row>
    <row r="5" spans="1:23" ht="15" thickBot="1" x14ac:dyDescent="0.4">
      <c r="A5" t="s">
        <v>75</v>
      </c>
      <c r="B5" t="s">
        <v>97</v>
      </c>
      <c r="C5">
        <v>29</v>
      </c>
      <c r="D5">
        <v>71</v>
      </c>
      <c r="E5" t="s">
        <v>98</v>
      </c>
      <c r="F5" t="str">
        <f t="shared" si="2"/>
        <v>DJOKOVIC</v>
      </c>
      <c r="G5">
        <f t="shared" si="3"/>
        <v>1</v>
      </c>
      <c r="H5" t="s">
        <v>98</v>
      </c>
      <c r="I5">
        <f t="shared" si="4"/>
        <v>1</v>
      </c>
      <c r="J5" s="7">
        <v>0.29965999999999998</v>
      </c>
      <c r="K5" s="7">
        <f t="shared" si="5"/>
        <v>0.70033999999999996</v>
      </c>
      <c r="L5" t="str">
        <f t="shared" si="6"/>
        <v>Empat</v>
      </c>
      <c r="M5" s="7">
        <f t="shared" si="7"/>
        <v>-9.6600000000000019E-3</v>
      </c>
      <c r="N5" s="7">
        <f t="shared" si="8"/>
        <v>0.28999999999999998</v>
      </c>
      <c r="O5" s="7">
        <f t="shared" si="9"/>
        <v>0.71</v>
      </c>
      <c r="P5" t="str">
        <f t="shared" si="10"/>
        <v>DE MINAUR vs. DJOKOVIC</v>
      </c>
      <c r="Q5" s="7">
        <f t="shared" si="11"/>
        <v>0.71</v>
      </c>
      <c r="R5">
        <f t="shared" si="12"/>
        <v>8.4100000000000022E-2</v>
      </c>
      <c r="V5" s="5" t="s">
        <v>201</v>
      </c>
      <c r="W5" s="6">
        <f>7/8</f>
        <v>0.875</v>
      </c>
    </row>
    <row r="6" spans="1:23" ht="15" thickBot="1" x14ac:dyDescent="0.4">
      <c r="A6" t="s">
        <v>99</v>
      </c>
      <c r="B6" t="s">
        <v>118</v>
      </c>
      <c r="C6">
        <v>77</v>
      </c>
      <c r="D6">
        <v>23</v>
      </c>
      <c r="E6" t="s">
        <v>101</v>
      </c>
      <c r="F6" t="str">
        <f t="shared" si="2"/>
        <v>FRITZ</v>
      </c>
      <c r="G6">
        <f t="shared" si="3"/>
        <v>1</v>
      </c>
      <c r="H6" t="s">
        <v>101</v>
      </c>
      <c r="I6">
        <f t="shared" si="4"/>
        <v>1</v>
      </c>
      <c r="J6" s="7">
        <v>0.94166899999999998</v>
      </c>
      <c r="K6" s="7">
        <f t="shared" si="5"/>
        <v>5.8331000000000022E-2</v>
      </c>
      <c r="L6" t="str">
        <f t="shared" si="6"/>
        <v>Empat</v>
      </c>
      <c r="M6" s="7">
        <f t="shared" si="7"/>
        <v>0.17166899999999996</v>
      </c>
      <c r="N6" s="7">
        <f t="shared" si="8"/>
        <v>0.77</v>
      </c>
      <c r="O6" s="7">
        <f t="shared" si="9"/>
        <v>0.23</v>
      </c>
      <c r="P6" t="str">
        <f t="shared" si="10"/>
        <v>FRITZ vs. THOMPSON</v>
      </c>
      <c r="Q6" s="7">
        <f t="shared" si="11"/>
        <v>0.77</v>
      </c>
      <c r="R6">
        <f t="shared" si="12"/>
        <v>5.2899999999999989E-2</v>
      </c>
      <c r="V6" s="5" t="s">
        <v>206</v>
      </c>
      <c r="W6" s="6">
        <f>6/8</f>
        <v>0.75</v>
      </c>
    </row>
    <row r="7" spans="1:23" ht="15" thickBot="1" x14ac:dyDescent="0.4">
      <c r="A7" t="s">
        <v>133</v>
      </c>
      <c r="B7" t="s">
        <v>136</v>
      </c>
      <c r="C7">
        <v>68</v>
      </c>
      <c r="D7">
        <v>32</v>
      </c>
      <c r="E7" t="s">
        <v>134</v>
      </c>
      <c r="F7" t="str">
        <f t="shared" si="2"/>
        <v>KHACHANOV</v>
      </c>
      <c r="G7">
        <f t="shared" si="3"/>
        <v>1</v>
      </c>
      <c r="H7" t="s">
        <v>134</v>
      </c>
      <c r="I7">
        <f t="shared" si="4"/>
        <v>1</v>
      </c>
      <c r="J7" s="7">
        <v>0.668462</v>
      </c>
      <c r="K7" s="7">
        <f t="shared" si="5"/>
        <v>0.331538</v>
      </c>
      <c r="L7" t="str">
        <f t="shared" si="6"/>
        <v>Empat</v>
      </c>
      <c r="M7" s="7">
        <f t="shared" si="7"/>
        <v>-1.1538000000000048E-2</v>
      </c>
      <c r="N7" s="7">
        <f t="shared" si="8"/>
        <v>0.68</v>
      </c>
      <c r="O7" s="7">
        <f t="shared" si="9"/>
        <v>0.32</v>
      </c>
      <c r="P7" t="str">
        <f t="shared" si="10"/>
        <v>KHACHANOV vs. MAJCHRZAK</v>
      </c>
      <c r="Q7" s="7">
        <f t="shared" si="11"/>
        <v>0.68</v>
      </c>
      <c r="R7">
        <f t="shared" si="12"/>
        <v>0.10239999999999996</v>
      </c>
      <c r="V7" s="5" t="s">
        <v>208</v>
      </c>
      <c r="W7" s="6">
        <f>7/8</f>
        <v>0.875</v>
      </c>
    </row>
    <row r="8" spans="1:23" ht="15" thickBot="1" x14ac:dyDescent="0.4">
      <c r="A8" t="s">
        <v>148</v>
      </c>
      <c r="B8" t="s">
        <v>165</v>
      </c>
      <c r="C8">
        <v>41</v>
      </c>
      <c r="D8">
        <v>59</v>
      </c>
      <c r="E8" t="s">
        <v>167</v>
      </c>
      <c r="F8" t="str">
        <f t="shared" si="2"/>
        <v>NORRIE</v>
      </c>
      <c r="G8">
        <f t="shared" si="3"/>
        <v>1</v>
      </c>
      <c r="H8" t="s">
        <v>149</v>
      </c>
      <c r="I8">
        <f t="shared" si="4"/>
        <v>0</v>
      </c>
      <c r="J8" s="7">
        <v>0.52766400000000002</v>
      </c>
      <c r="K8" s="7">
        <f t="shared" si="5"/>
        <v>0.47233599999999998</v>
      </c>
      <c r="L8" t="str">
        <f t="shared" si="6"/>
        <v>Perdem</v>
      </c>
      <c r="M8" s="7">
        <f t="shared" si="7"/>
        <v>-0.11766399999999999</v>
      </c>
      <c r="N8" s="7">
        <f t="shared" si="8"/>
        <v>0.41</v>
      </c>
      <c r="O8" s="7">
        <f t="shared" si="9"/>
        <v>0.59</v>
      </c>
      <c r="P8" t="str">
        <f t="shared" si="10"/>
        <v>JARRY vs. NORRIE</v>
      </c>
      <c r="Q8" s="7">
        <f t="shared" si="11"/>
        <v>0.59</v>
      </c>
      <c r="R8">
        <f t="shared" si="12"/>
        <v>0.16810000000000003</v>
      </c>
    </row>
    <row r="9" spans="1:23" x14ac:dyDescent="0.35">
      <c r="A9" t="s">
        <v>171</v>
      </c>
      <c r="B9" t="s">
        <v>192</v>
      </c>
      <c r="C9">
        <v>25</v>
      </c>
      <c r="D9">
        <v>75</v>
      </c>
      <c r="E9" t="s">
        <v>193</v>
      </c>
      <c r="F9" t="str">
        <f t="shared" si="2"/>
        <v>ALCARAZ</v>
      </c>
      <c r="G9">
        <f t="shared" si="3"/>
        <v>1</v>
      </c>
      <c r="H9" t="s">
        <v>193</v>
      </c>
      <c r="I9">
        <f t="shared" si="4"/>
        <v>1</v>
      </c>
      <c r="J9" s="7">
        <f>1-0.994118</f>
        <v>5.8820000000000539E-3</v>
      </c>
      <c r="K9" s="7">
        <f t="shared" si="5"/>
        <v>0.99411799999999995</v>
      </c>
      <c r="L9" t="str">
        <f t="shared" si="6"/>
        <v>Empat</v>
      </c>
      <c r="M9" s="7">
        <f t="shared" si="7"/>
        <v>0.24411799999999995</v>
      </c>
      <c r="N9" s="7">
        <f t="shared" si="8"/>
        <v>0.25</v>
      </c>
      <c r="O9" s="7">
        <f t="shared" si="9"/>
        <v>0.75</v>
      </c>
      <c r="P9" t="str">
        <f t="shared" si="10"/>
        <v>RUBLEV vs. ALCARAZ</v>
      </c>
      <c r="Q9" s="7">
        <f t="shared" si="11"/>
        <v>0.75</v>
      </c>
      <c r="R9">
        <f t="shared" si="12"/>
        <v>6.25E-2</v>
      </c>
      <c r="V9" s="3" t="s">
        <v>259</v>
      </c>
      <c r="W9" s="4">
        <f>AVERAGE(R2:R9)</f>
        <v>9.1112499999999999E-2</v>
      </c>
    </row>
    <row r="10" spans="1:23" ht="15" thickBot="1" x14ac:dyDescent="0.4">
      <c r="V10" s="5" t="s">
        <v>260</v>
      </c>
      <c r="W10" s="16">
        <v>0.2387</v>
      </c>
    </row>
  </sheetData>
  <conditionalFormatting sqref="G2:G9">
    <cfRule type="cellIs" dxfId="39" priority="11" operator="equal">
      <formula>1</formula>
    </cfRule>
  </conditionalFormatting>
  <conditionalFormatting sqref="J1:P1">
    <cfRule type="cellIs" dxfId="38" priority="9" operator="equal">
      <formula>0</formula>
    </cfRule>
    <cfRule type="cellIs" dxfId="37" priority="10" operator="equal">
      <formula>1</formula>
    </cfRule>
  </conditionalFormatting>
  <conditionalFormatting sqref="I2:I9">
    <cfRule type="cellIs" dxfId="36" priority="7" operator="equal">
      <formula>0</formula>
    </cfRule>
    <cfRule type="cellIs" dxfId="35" priority="8" operator="equal">
      <formula>1</formula>
    </cfRule>
  </conditionalFormatting>
  <conditionalFormatting sqref="L2:L9">
    <cfRule type="containsText" dxfId="34" priority="4" operator="containsText" text="Perdem">
      <formula>NOT(ISERROR(SEARCH("Perdem",L2)))</formula>
    </cfRule>
    <cfRule type="containsText" dxfId="33" priority="5" operator="containsText" text="Guanyem">
      <formula>NOT(ISERROR(SEARCH("Guanyem",L2)))</formula>
    </cfRule>
    <cfRule type="containsText" dxfId="32" priority="6" operator="containsText" text="Empat">
      <formula>NOT(ISERROR(SEARCH("Empat",L2)))</formula>
    </cfRule>
  </conditionalFormatting>
  <conditionalFormatting sqref="M2:M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ellIs" dxfId="31" priority="1" operator="equal">
      <formula>0</formula>
    </cfRule>
    <cfRule type="cellIs" dxfId="30" priority="2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FC20-F2D4-42EE-B26E-57F7A91BDF6D}">
  <dimension ref="A1:X11"/>
  <sheetViews>
    <sheetView topLeftCell="O1" workbookViewId="0">
      <pane ySplit="1" topLeftCell="A2" activePane="bottomLeft" state="frozen"/>
      <selection pane="bottomLeft" activeCell="X10" sqref="X10"/>
    </sheetView>
  </sheetViews>
  <sheetFormatPr defaultColWidth="8.81640625" defaultRowHeight="14.5" x14ac:dyDescent="0.35"/>
  <cols>
    <col min="1" max="1" width="17.26953125" bestFit="1" customWidth="1"/>
    <col min="2" max="2" width="15.54296875" bestFit="1" customWidth="1"/>
    <col min="3" max="4" width="12" bestFit="1" customWidth="1"/>
    <col min="5" max="5" width="9.26953125" bestFit="1" customWidth="1"/>
    <col min="6" max="6" width="10.26953125" bestFit="1" customWidth="1"/>
    <col min="7" max="7" width="5.1796875" bestFit="1" customWidth="1"/>
    <col min="8" max="8" width="10.36328125" bestFit="1" customWidth="1"/>
    <col min="9" max="9" width="8.7265625" bestFit="1" customWidth="1"/>
    <col min="10" max="11" width="22.54296875" bestFit="1" customWidth="1"/>
    <col min="12" max="12" width="25.81640625" bestFit="1" customWidth="1"/>
    <col min="13" max="13" width="14.90625" bestFit="1" customWidth="1"/>
    <col min="14" max="15" width="15.6328125" bestFit="1" customWidth="1"/>
    <col min="16" max="16" width="19.81640625" bestFit="1" customWidth="1"/>
    <col min="18" max="18" width="13.81640625" bestFit="1" customWidth="1"/>
    <col min="19" max="19" width="7.90625" bestFit="1" customWidth="1"/>
    <col min="23" max="23" width="13.81640625" bestFit="1" customWidth="1"/>
  </cols>
  <sheetData>
    <row r="1" spans="1:24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  <c r="H1" s="1" t="s">
        <v>209</v>
      </c>
      <c r="I1" s="1" t="s">
        <v>241</v>
      </c>
      <c r="J1" s="1" t="s">
        <v>235</v>
      </c>
      <c r="K1" s="1" t="s">
        <v>236</v>
      </c>
      <c r="L1" s="1" t="s">
        <v>233</v>
      </c>
      <c r="M1" s="1" t="s">
        <v>234</v>
      </c>
      <c r="N1" s="1" t="s">
        <v>237</v>
      </c>
      <c r="O1" s="1" t="s">
        <v>238</v>
      </c>
      <c r="P1" s="1" t="s">
        <v>239</v>
      </c>
      <c r="Q1" s="1" t="s">
        <v>256</v>
      </c>
      <c r="R1" s="15" t="s">
        <v>257</v>
      </c>
    </row>
    <row r="2" spans="1:24" x14ac:dyDescent="0.35">
      <c r="A2" t="s">
        <v>27</v>
      </c>
      <c r="B2" t="s">
        <v>3</v>
      </c>
      <c r="C2">
        <v>21</v>
      </c>
      <c r="D2">
        <v>79</v>
      </c>
      <c r="E2" t="s">
        <v>5</v>
      </c>
      <c r="F2" t="str">
        <f>LEFT(IF(C2&gt;D2, A2, B2), FIND(",", IF(C2&gt;D2, A2, B2)) - 1)</f>
        <v>SINNER</v>
      </c>
      <c r="G2">
        <f>IF(F2=E2, 1, 0)</f>
        <v>1</v>
      </c>
      <c r="H2" t="s">
        <v>5</v>
      </c>
      <c r="I2">
        <f>IF(H2=E2, 1, 0)</f>
        <v>1</v>
      </c>
      <c r="J2" s="7">
        <v>0.25052200000000002</v>
      </c>
      <c r="K2" s="7">
        <f>1-J2</f>
        <v>0.74947799999999998</v>
      </c>
      <c r="L2" t="str">
        <f>IF(G2=I2, "Empat", IF(I2=1, "Guanyem", "Perdem"))</f>
        <v>Empat</v>
      </c>
      <c r="M2" s="7">
        <f>IF(ISNUMBER(SEARCH(E2, A2)), J2-(C2/100), K2-(D2/100))</f>
        <v>-4.0522000000000058E-2</v>
      </c>
      <c r="N2" s="7">
        <f t="shared" ref="N2:O2" si="0">C2/100</f>
        <v>0.21</v>
      </c>
      <c r="O2" s="7">
        <f t="shared" si="0"/>
        <v>0.79</v>
      </c>
      <c r="P2" t="str">
        <f t="shared" ref="P2" si="1">_xlfn.TEXTBEFORE(A2, ",") &amp; " vs. " &amp; _xlfn.TEXTBEFORE(B2, ",")</f>
        <v>SHELTON vs. SINNER</v>
      </c>
      <c r="Q2" s="7">
        <f>IF(N2&gt;O2, N2, O2)</f>
        <v>0.79</v>
      </c>
      <c r="R2">
        <f>(Q2-G2)^2</f>
        <v>4.4099999999999986E-2</v>
      </c>
    </row>
    <row r="3" spans="1:24" ht="15" thickBot="1" x14ac:dyDescent="0.4">
      <c r="A3" t="s">
        <v>63</v>
      </c>
      <c r="B3" t="s">
        <v>97</v>
      </c>
      <c r="C3">
        <v>28</v>
      </c>
      <c r="D3">
        <v>72</v>
      </c>
      <c r="E3" t="s">
        <v>98</v>
      </c>
      <c r="F3" t="str">
        <f>LEFT(IF(C3&gt;D3, A3, B3), FIND(",", IF(C3&gt;D3, A3, B3)) - 1)</f>
        <v>DJOKOVIC</v>
      </c>
      <c r="G3">
        <f>IF(F3=E3, 1, 0)</f>
        <v>1</v>
      </c>
      <c r="H3" t="s">
        <v>98</v>
      </c>
      <c r="I3">
        <f t="shared" ref="I3:I5" si="2">IF(H3=E3, 1, 0)</f>
        <v>1</v>
      </c>
      <c r="J3" s="7">
        <v>0.118141</v>
      </c>
      <c r="K3" s="7">
        <f t="shared" ref="K3:K5" si="3">1-J3</f>
        <v>0.88185899999999995</v>
      </c>
      <c r="L3" t="str">
        <f t="shared" ref="L3:L5" si="4">IF(G3=I3, "Empat", IF(I3=1, "Guanyem", "Perdem"))</f>
        <v>Empat</v>
      </c>
      <c r="M3" s="7">
        <f t="shared" ref="M3:M5" si="5">IF(ISNUMBER(SEARCH(E3, A3)), J3-(C3/100), K3-(D3/100))</f>
        <v>0.16185899999999998</v>
      </c>
      <c r="N3" s="7">
        <f t="shared" ref="N3:N5" si="6">C3/100</f>
        <v>0.28000000000000003</v>
      </c>
      <c r="O3" s="7">
        <f t="shared" ref="O3:O5" si="7">D3/100</f>
        <v>0.72</v>
      </c>
      <c r="P3" t="str">
        <f t="shared" ref="P3:P5" si="8">_xlfn.TEXTBEFORE(A3, ",") &amp; " vs. " &amp; _xlfn.TEXTBEFORE(B3, ",")</f>
        <v>COBOLLI vs. DJOKOVIC</v>
      </c>
      <c r="Q3" s="7">
        <f t="shared" ref="Q3:Q5" si="9">IF(N3&gt;O3, N3, O3)</f>
        <v>0.72</v>
      </c>
      <c r="R3">
        <f t="shared" ref="R3:R5" si="10">(Q3-G3)^2</f>
        <v>7.8400000000000011E-2</v>
      </c>
    </row>
    <row r="4" spans="1:24" x14ac:dyDescent="0.35">
      <c r="A4" t="s">
        <v>133</v>
      </c>
      <c r="B4" t="s">
        <v>99</v>
      </c>
      <c r="C4">
        <v>34</v>
      </c>
      <c r="D4">
        <v>66</v>
      </c>
      <c r="E4" t="s">
        <v>101</v>
      </c>
      <c r="F4" t="str">
        <f>LEFT(IF(C4&gt;D4, A4, B4), FIND(",", IF(C4&gt;D4, A4, B4)) - 1)</f>
        <v>FRITZ</v>
      </c>
      <c r="G4">
        <f>IF(F4=E4, 1, 0)</f>
        <v>1</v>
      </c>
      <c r="H4" t="s">
        <v>101</v>
      </c>
      <c r="I4">
        <f t="shared" si="2"/>
        <v>1</v>
      </c>
      <c r="J4" s="7">
        <f>1-0.732573</f>
        <v>0.26742699999999997</v>
      </c>
      <c r="K4" s="7">
        <f t="shared" si="3"/>
        <v>0.73257300000000003</v>
      </c>
      <c r="L4" t="str">
        <f t="shared" si="4"/>
        <v>Empat</v>
      </c>
      <c r="M4" s="7">
        <f t="shared" si="5"/>
        <v>7.2572999999999999E-2</v>
      </c>
      <c r="N4" s="7">
        <f t="shared" si="6"/>
        <v>0.34</v>
      </c>
      <c r="O4" s="7">
        <f t="shared" si="7"/>
        <v>0.66</v>
      </c>
      <c r="P4" t="str">
        <f t="shared" si="8"/>
        <v>KHACHANOV vs. FRITZ</v>
      </c>
      <c r="Q4" s="7">
        <f t="shared" si="9"/>
        <v>0.66</v>
      </c>
      <c r="R4">
        <f t="shared" si="10"/>
        <v>0.11559999999999998</v>
      </c>
      <c r="W4" s="3" t="s">
        <v>199</v>
      </c>
      <c r="X4" s="4">
        <v>4</v>
      </c>
    </row>
    <row r="5" spans="1:24" ht="15" thickBot="1" x14ac:dyDescent="0.4">
      <c r="A5" t="s">
        <v>192</v>
      </c>
      <c r="B5" t="s">
        <v>165</v>
      </c>
      <c r="C5">
        <v>87</v>
      </c>
      <c r="D5">
        <v>13</v>
      </c>
      <c r="E5" t="s">
        <v>193</v>
      </c>
      <c r="F5" t="str">
        <f>LEFT(IF(C5&gt;D5, A5, B5), FIND(",", IF(C5&gt;D5, A5, B5)) - 1)</f>
        <v>ALCARAZ</v>
      </c>
      <c r="G5">
        <f>IF(F5=E5, 1, 0)</f>
        <v>1</v>
      </c>
      <c r="H5" t="s">
        <v>193</v>
      </c>
      <c r="I5">
        <f t="shared" si="2"/>
        <v>1</v>
      </c>
      <c r="J5" s="7">
        <v>0.925485</v>
      </c>
      <c r="K5" s="7">
        <f t="shared" si="3"/>
        <v>7.4514999999999998E-2</v>
      </c>
      <c r="L5" t="str">
        <f t="shared" si="4"/>
        <v>Empat</v>
      </c>
      <c r="M5" s="7">
        <f t="shared" si="5"/>
        <v>5.5485000000000007E-2</v>
      </c>
      <c r="N5" s="7">
        <f t="shared" si="6"/>
        <v>0.87</v>
      </c>
      <c r="O5" s="7">
        <f t="shared" si="7"/>
        <v>0.13</v>
      </c>
      <c r="P5" t="str">
        <f t="shared" si="8"/>
        <v>ALCARAZ vs. NORRIE</v>
      </c>
      <c r="Q5" s="7">
        <f t="shared" si="9"/>
        <v>0.87</v>
      </c>
      <c r="R5">
        <f t="shared" si="10"/>
        <v>1.6900000000000002E-2</v>
      </c>
      <c r="W5" s="5" t="s">
        <v>200</v>
      </c>
      <c r="X5" s="6">
        <f>4/4</f>
        <v>1</v>
      </c>
    </row>
    <row r="6" spans="1:24" ht="15" thickBot="1" x14ac:dyDescent="0.4">
      <c r="W6" s="5" t="s">
        <v>201</v>
      </c>
      <c r="X6" s="6">
        <f>4/4</f>
        <v>1</v>
      </c>
    </row>
    <row r="7" spans="1:24" ht="15" thickBot="1" x14ac:dyDescent="0.4">
      <c r="W7" s="5" t="s">
        <v>206</v>
      </c>
      <c r="X7" s="6">
        <f>4/4</f>
        <v>1</v>
      </c>
    </row>
    <row r="8" spans="1:24" ht="15" thickBot="1" x14ac:dyDescent="0.4">
      <c r="W8" s="5" t="s">
        <v>208</v>
      </c>
      <c r="X8" s="6">
        <f>4/4</f>
        <v>1</v>
      </c>
    </row>
    <row r="9" spans="1:24" ht="15" thickBot="1" x14ac:dyDescent="0.4"/>
    <row r="10" spans="1:24" x14ac:dyDescent="0.35">
      <c r="W10" s="3" t="s">
        <v>259</v>
      </c>
      <c r="X10" s="4">
        <f>AVERAGE(R2:R5)</f>
        <v>6.3750000000000001E-2</v>
      </c>
    </row>
    <row r="11" spans="1:24" ht="15" thickBot="1" x14ac:dyDescent="0.4">
      <c r="W11" s="5" t="s">
        <v>260</v>
      </c>
      <c r="X11" s="16">
        <v>0.2387</v>
      </c>
    </row>
  </sheetData>
  <conditionalFormatting sqref="G2:G5">
    <cfRule type="cellIs" dxfId="29" priority="11" operator="equal">
      <formula>1</formula>
    </cfRule>
  </conditionalFormatting>
  <conditionalFormatting sqref="J1:P1">
    <cfRule type="cellIs" dxfId="28" priority="9" operator="equal">
      <formula>0</formula>
    </cfRule>
    <cfRule type="cellIs" dxfId="27" priority="10" operator="equal">
      <formula>1</formula>
    </cfRule>
  </conditionalFormatting>
  <conditionalFormatting sqref="I2:I5">
    <cfRule type="cellIs" dxfId="26" priority="7" operator="equal">
      <formula>0</formula>
    </cfRule>
    <cfRule type="cellIs" dxfId="25" priority="8" operator="equal">
      <formula>1</formula>
    </cfRule>
  </conditionalFormatting>
  <conditionalFormatting sqref="L2:L5">
    <cfRule type="containsText" dxfId="24" priority="4" operator="containsText" text="Perdem">
      <formula>NOT(ISERROR(SEARCH("Perdem",L2)))</formula>
    </cfRule>
    <cfRule type="containsText" dxfId="23" priority="5" operator="containsText" text="Guanyem">
      <formula>NOT(ISERROR(SEARCH("Guanyem",L2)))</formula>
    </cfRule>
    <cfRule type="containsText" dxfId="22" priority="6" operator="containsText" text="Empat">
      <formula>NOT(ISERROR(SEARCH("Empat",L2)))</formula>
    </cfRule>
  </conditionalFormatting>
  <conditionalFormatting sqref="M2:M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ellIs" dxfId="5" priority="1" operator="equal">
      <formula>0</formula>
    </cfRule>
    <cfRule type="cellIs" dxfId="4" priority="2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7C8-0180-4F68-B33D-869F44F7E5B7}">
  <dimension ref="A1:V13"/>
  <sheetViews>
    <sheetView topLeftCell="K1" workbookViewId="0">
      <pane ySplit="1" topLeftCell="A2" activePane="bottomLeft" state="frozen"/>
      <selection pane="bottomLeft" activeCell="V12" sqref="V12"/>
    </sheetView>
  </sheetViews>
  <sheetFormatPr defaultColWidth="8.81640625" defaultRowHeight="14.5" x14ac:dyDescent="0.35"/>
  <cols>
    <col min="1" max="1" width="14.453125" bestFit="1" customWidth="1"/>
    <col min="2" max="2" width="15.453125" bestFit="1" customWidth="1"/>
    <col min="3" max="4" width="12" bestFit="1" customWidth="1"/>
    <col min="5" max="5" width="7.81640625" bestFit="1" customWidth="1"/>
    <col min="6" max="6" width="10.36328125" bestFit="1" customWidth="1"/>
    <col min="7" max="7" width="5.1796875" bestFit="1" customWidth="1"/>
    <col min="10" max="10" width="13.81640625" bestFit="1" customWidth="1"/>
    <col min="16" max="16" width="18.54296875" bestFit="1" customWidth="1"/>
    <col min="18" max="18" width="13.81640625" bestFit="1" customWidth="1"/>
    <col min="21" max="21" width="13.81640625" bestFit="1" customWidth="1"/>
  </cols>
  <sheetData>
    <row r="1" spans="1:22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  <c r="H1" s="1" t="s">
        <v>209</v>
      </c>
      <c r="I1" s="1" t="s">
        <v>241</v>
      </c>
      <c r="J1" s="1" t="s">
        <v>235</v>
      </c>
      <c r="K1" s="1" t="s">
        <v>236</v>
      </c>
      <c r="L1" s="1" t="s">
        <v>233</v>
      </c>
      <c r="M1" s="1" t="s">
        <v>234</v>
      </c>
      <c r="N1" s="1" t="s">
        <v>237</v>
      </c>
      <c r="O1" s="1" t="s">
        <v>238</v>
      </c>
      <c r="P1" s="1" t="s">
        <v>239</v>
      </c>
      <c r="Q1" s="1" t="s">
        <v>256</v>
      </c>
      <c r="R1" s="15" t="s">
        <v>257</v>
      </c>
    </row>
    <row r="2" spans="1:22" x14ac:dyDescent="0.35">
      <c r="A2" t="s">
        <v>3</v>
      </c>
      <c r="B2" t="s">
        <v>97</v>
      </c>
      <c r="C2">
        <v>58</v>
      </c>
      <c r="D2">
        <v>42</v>
      </c>
      <c r="E2" t="s">
        <v>5</v>
      </c>
      <c r="F2" t="str">
        <f>LEFT(IF(C2&gt;D2, A2, B2), FIND(",", IF(C2&gt;D2, A2, B2)) - 1)</f>
        <v>SINNER</v>
      </c>
      <c r="G2">
        <f>IF(F2=E2, 1, 0)</f>
        <v>1</v>
      </c>
      <c r="H2" t="s">
        <v>5</v>
      </c>
      <c r="I2">
        <f>IF(H2=E2, 1, 0)</f>
        <v>1</v>
      </c>
      <c r="J2">
        <f>1-0.468072</f>
        <v>0.53192799999999996</v>
      </c>
      <c r="K2">
        <f>1-J2</f>
        <v>0.46807200000000004</v>
      </c>
      <c r="L2" t="str">
        <f>IF(G2=I2, "Empat", IF(I2=1, "Guanyem", "Perdem"))</f>
        <v>Empat</v>
      </c>
      <c r="M2" s="7">
        <f>IF(ISNUMBER(SEARCH(E2, A2)), J2-(C2/100), K2-(D2/100))</f>
        <v>-4.8072000000000004E-2</v>
      </c>
      <c r="N2" s="7">
        <f t="shared" ref="N2:O2" si="0">C2/100</f>
        <v>0.57999999999999996</v>
      </c>
      <c r="O2" s="7">
        <f t="shared" si="0"/>
        <v>0.42</v>
      </c>
      <c r="P2" t="str">
        <f t="shared" ref="P2" si="1">_xlfn.TEXTBEFORE(A2, ",") &amp; " vs. " &amp; _xlfn.TEXTBEFORE(B2, ",")</f>
        <v>SINNER vs. DJOKOVIC</v>
      </c>
      <c r="Q2" s="7">
        <f>IF(N2&gt;O2, N2, O2)</f>
        <v>0.57999999999999996</v>
      </c>
      <c r="R2">
        <f>(Q2-G2)^2</f>
        <v>0.17640000000000003</v>
      </c>
    </row>
    <row r="3" spans="1:22" x14ac:dyDescent="0.35">
      <c r="A3" t="s">
        <v>192</v>
      </c>
      <c r="B3" t="s">
        <v>99</v>
      </c>
      <c r="C3">
        <v>60</v>
      </c>
      <c r="D3">
        <v>40</v>
      </c>
      <c r="E3" t="s">
        <v>193</v>
      </c>
      <c r="F3" t="str">
        <f>LEFT(IF(C3&gt;D3, A3, B3), FIND(",", IF(C3&gt;D3, A3, B3)) - 1)</f>
        <v>ALCARAZ</v>
      </c>
      <c r="G3">
        <f>IF(F3=E3, 1, 0)</f>
        <v>1</v>
      </c>
      <c r="H3" t="s">
        <v>193</v>
      </c>
      <c r="I3">
        <f>IF(H3=E3, 1, 0)</f>
        <v>1</v>
      </c>
      <c r="J3">
        <v>0.80112700000000003</v>
      </c>
      <c r="K3">
        <f>1-J3</f>
        <v>0.19887299999999997</v>
      </c>
      <c r="L3" t="str">
        <f>IF(G3=I3, "Empat", IF(I3=1, "Guanyem", "Perdem"))</f>
        <v>Empat</v>
      </c>
      <c r="M3" s="7">
        <f>IF(ISNUMBER(SEARCH(E3, A3)), J3-(C3/100), K3-(D3/100))</f>
        <v>0.20112700000000006</v>
      </c>
      <c r="N3" s="7">
        <f t="shared" ref="N3" si="2">C3/100</f>
        <v>0.6</v>
      </c>
      <c r="O3" s="7">
        <f t="shared" ref="O3" si="3">D3/100</f>
        <v>0.4</v>
      </c>
      <c r="P3" t="str">
        <f t="shared" ref="P3" si="4">_xlfn.TEXTBEFORE(A3, ",") &amp; " vs. " &amp; _xlfn.TEXTBEFORE(B3, ",")</f>
        <v>ALCARAZ vs. FRITZ</v>
      </c>
      <c r="Q3" s="7">
        <f>IF(N3&gt;O3, N3, O3)</f>
        <v>0.6</v>
      </c>
      <c r="R3">
        <f>(Q3-G3)^2</f>
        <v>0.16000000000000003</v>
      </c>
    </row>
    <row r="6" spans="1:22" ht="15" thickBot="1" x14ac:dyDescent="0.4"/>
    <row r="7" spans="1:22" x14ac:dyDescent="0.35">
      <c r="U7" s="3" t="s">
        <v>199</v>
      </c>
      <c r="V7" s="4">
        <v>2</v>
      </c>
    </row>
    <row r="8" spans="1:22" ht="15" thickBot="1" x14ac:dyDescent="0.4">
      <c r="U8" s="5" t="s">
        <v>200</v>
      </c>
      <c r="V8" s="6">
        <f>2/2</f>
        <v>1</v>
      </c>
    </row>
    <row r="9" spans="1:22" ht="15" thickBot="1" x14ac:dyDescent="0.4">
      <c r="U9" s="5" t="s">
        <v>201</v>
      </c>
      <c r="V9" s="6">
        <f>2/2</f>
        <v>1</v>
      </c>
    </row>
    <row r="10" spans="1:22" ht="15" thickBot="1" x14ac:dyDescent="0.4">
      <c r="U10" s="5" t="s">
        <v>206</v>
      </c>
      <c r="V10" s="6">
        <f>2/2</f>
        <v>1</v>
      </c>
    </row>
    <row r="11" spans="1:22" ht="15" thickBot="1" x14ac:dyDescent="0.4"/>
    <row r="12" spans="1:22" x14ac:dyDescent="0.35">
      <c r="U12" s="3" t="s">
        <v>259</v>
      </c>
      <c r="V12" s="4">
        <f>AVERAGE(R2:R3)</f>
        <v>0.16820000000000002</v>
      </c>
    </row>
    <row r="13" spans="1:22" ht="15" thickBot="1" x14ac:dyDescent="0.4">
      <c r="U13" s="5" t="s">
        <v>260</v>
      </c>
      <c r="V13" s="16">
        <v>0.2387</v>
      </c>
    </row>
  </sheetData>
  <conditionalFormatting sqref="G2:G3">
    <cfRule type="cellIs" dxfId="21" priority="11" operator="equal">
      <formula>1</formula>
    </cfRule>
  </conditionalFormatting>
  <conditionalFormatting sqref="J1:P1">
    <cfRule type="cellIs" dxfId="20" priority="9" operator="equal">
      <formula>0</formula>
    </cfRule>
    <cfRule type="cellIs" dxfId="19" priority="10" operator="equal">
      <formula>1</formula>
    </cfRule>
  </conditionalFormatting>
  <conditionalFormatting sqref="I2:I3">
    <cfRule type="cellIs" dxfId="18" priority="7" operator="equal">
      <formula>0</formula>
    </cfRule>
    <cfRule type="cellIs" dxfId="17" priority="8" operator="equal">
      <formula>1</formula>
    </cfRule>
  </conditionalFormatting>
  <conditionalFormatting sqref="L2:L3">
    <cfRule type="containsText" dxfId="16" priority="4" operator="containsText" text="Perdem">
      <formula>NOT(ISERROR(SEARCH("Perdem",L2)))</formula>
    </cfRule>
    <cfRule type="containsText" dxfId="15" priority="5" operator="containsText" text="Guanyem">
      <formula>NOT(ISERROR(SEARCH("Guanyem",L2)))</formula>
    </cfRule>
    <cfRule type="containsText" dxfId="14" priority="6" operator="containsText" text="Empat">
      <formula>NOT(ISERROR(SEARCH("Empat",L2)))</formula>
    </cfRule>
  </conditionalFormatting>
  <conditionalFormatting sqref="M2:M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ellIs" dxfId="3" priority="1" operator="equal">
      <formula>0</formula>
    </cfRule>
    <cfRule type="cellIs" dxfId="2" priority="2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A5AE-209F-4B33-912E-0B335547B6EF}">
  <dimension ref="A1:W10"/>
  <sheetViews>
    <sheetView topLeftCell="M1" workbookViewId="0">
      <pane ySplit="1" topLeftCell="A2" activePane="bottomLeft" state="frozen"/>
      <selection pane="bottomLeft" activeCell="W9" sqref="W9"/>
    </sheetView>
  </sheetViews>
  <sheetFormatPr defaultColWidth="8.81640625" defaultRowHeight="14.5" x14ac:dyDescent="0.35"/>
  <cols>
    <col min="1" max="1" width="12.90625" bestFit="1" customWidth="1"/>
    <col min="2" max="2" width="14.54296875" bestFit="1" customWidth="1"/>
    <col min="3" max="4" width="12" bestFit="1" customWidth="1"/>
    <col min="5" max="5" width="7.90625" bestFit="1" customWidth="1"/>
    <col min="6" max="6" width="10.26953125" bestFit="1" customWidth="1"/>
    <col min="7" max="7" width="5.1796875" bestFit="1" customWidth="1"/>
    <col min="8" max="8" width="10.36328125" bestFit="1" customWidth="1"/>
    <col min="9" max="9" width="8.7265625" bestFit="1" customWidth="1"/>
    <col min="10" max="11" width="22.54296875" bestFit="1" customWidth="1"/>
    <col min="12" max="12" width="25.81640625" bestFit="1" customWidth="1"/>
    <col min="13" max="13" width="14.90625" bestFit="1" customWidth="1"/>
    <col min="14" max="15" width="15.6328125" bestFit="1" customWidth="1"/>
    <col min="16" max="16" width="17.54296875" bestFit="1" customWidth="1"/>
    <col min="18" max="18" width="13.81640625" bestFit="1" customWidth="1"/>
    <col min="19" max="19" width="7.90625" bestFit="1" customWidth="1"/>
    <col min="22" max="22" width="13.816406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  <c r="H1" s="1" t="s">
        <v>209</v>
      </c>
      <c r="I1" s="1" t="s">
        <v>241</v>
      </c>
      <c r="J1" s="1" t="s">
        <v>235</v>
      </c>
      <c r="K1" s="1" t="s">
        <v>236</v>
      </c>
      <c r="L1" s="1" t="s">
        <v>233</v>
      </c>
      <c r="M1" s="1" t="s">
        <v>234</v>
      </c>
      <c r="N1" s="1" t="s">
        <v>237</v>
      </c>
      <c r="O1" s="1" t="s">
        <v>238</v>
      </c>
      <c r="P1" s="1" t="s">
        <v>239</v>
      </c>
      <c r="Q1" s="1" t="s">
        <v>256</v>
      </c>
      <c r="R1" s="15" t="s">
        <v>257</v>
      </c>
    </row>
    <row r="2" spans="1:23" x14ac:dyDescent="0.35">
      <c r="A2" t="s">
        <v>3</v>
      </c>
      <c r="B2" t="s">
        <v>192</v>
      </c>
      <c r="C2">
        <v>53</v>
      </c>
      <c r="D2">
        <v>47</v>
      </c>
      <c r="E2" t="s">
        <v>5</v>
      </c>
      <c r="F2" t="str">
        <f>LEFT(IF(C2&gt;D2, A2, B2), FIND(",", IF(C2&gt;D2, A2, B2)) - 1)</f>
        <v>SINNER</v>
      </c>
      <c r="G2">
        <f>IF(F2=E2, 1, 0)</f>
        <v>1</v>
      </c>
      <c r="H2" t="s">
        <v>193</v>
      </c>
      <c r="I2">
        <f>IF(H2=E2, 1, 0)</f>
        <v>0</v>
      </c>
      <c r="J2">
        <f>1-0.568089</f>
        <v>0.43191100000000004</v>
      </c>
      <c r="K2">
        <f>1-J2</f>
        <v>0.56808899999999996</v>
      </c>
      <c r="L2" t="str">
        <f>IF(G2=I2, "Empat", IF(I2=1, "Guanyem", "Perdem"))</f>
        <v>Perdem</v>
      </c>
      <c r="M2" s="7">
        <f>IF(ISNUMBER(SEARCH(E2, A2)), J2-(C2/100), K2-(D2/100))</f>
        <v>-9.8088999999999982E-2</v>
      </c>
      <c r="N2" s="7">
        <f t="shared" ref="N2:O2" si="0">C2/100</f>
        <v>0.53</v>
      </c>
      <c r="O2" s="7">
        <f t="shared" si="0"/>
        <v>0.47</v>
      </c>
      <c r="P2" t="str">
        <f t="shared" ref="P2" si="1">_xlfn.TEXTBEFORE(A2, ",") &amp; " vs. " &amp; _xlfn.TEXTBEFORE(B2, ",")</f>
        <v>SINNER vs. ALCARAZ</v>
      </c>
      <c r="Q2" s="7">
        <f>IF(N2&gt;O2, N2, O2)</f>
        <v>0.53</v>
      </c>
      <c r="R2">
        <f>(Q2-G2)^2</f>
        <v>0.22089999999999999</v>
      </c>
    </row>
    <row r="3" spans="1:23" ht="15" thickBot="1" x14ac:dyDescent="0.4"/>
    <row r="4" spans="1:23" x14ac:dyDescent="0.35">
      <c r="V4" s="3" t="s">
        <v>199</v>
      </c>
      <c r="W4" s="4">
        <v>1</v>
      </c>
    </row>
    <row r="5" spans="1:23" ht="15" thickBot="1" x14ac:dyDescent="0.4">
      <c r="V5" s="5" t="s">
        <v>200</v>
      </c>
      <c r="W5" s="6">
        <f>1/1</f>
        <v>1</v>
      </c>
    </row>
    <row r="6" spans="1:23" ht="15" thickBot="1" x14ac:dyDescent="0.4">
      <c r="V6" s="5" t="s">
        <v>201</v>
      </c>
      <c r="W6" s="6">
        <f>0/1</f>
        <v>0</v>
      </c>
    </row>
    <row r="7" spans="1:23" ht="15" thickBot="1" x14ac:dyDescent="0.4">
      <c r="V7" s="5" t="s">
        <v>206</v>
      </c>
      <c r="W7" s="6">
        <f>0/1</f>
        <v>0</v>
      </c>
    </row>
    <row r="8" spans="1:23" ht="15" thickBot="1" x14ac:dyDescent="0.4"/>
    <row r="9" spans="1:23" x14ac:dyDescent="0.35">
      <c r="V9" s="3" t="s">
        <v>259</v>
      </c>
      <c r="W9" s="4">
        <f>AVERAGE(R2:R2)</f>
        <v>0.22089999999999999</v>
      </c>
    </row>
    <row r="10" spans="1:23" ht="15" thickBot="1" x14ac:dyDescent="0.4">
      <c r="V10" s="5" t="s">
        <v>260</v>
      </c>
      <c r="W10" s="16">
        <v>0.2387</v>
      </c>
    </row>
  </sheetData>
  <conditionalFormatting sqref="G2">
    <cfRule type="cellIs" dxfId="13" priority="11" operator="equal">
      <formula>1</formula>
    </cfRule>
  </conditionalFormatting>
  <conditionalFormatting sqref="J1:P1">
    <cfRule type="cellIs" dxfId="12" priority="9" operator="equal">
      <formula>0</formula>
    </cfRule>
    <cfRule type="cellIs" dxfId="11" priority="10" operator="equal">
      <formula>1</formula>
    </cfRule>
  </conditionalFormatting>
  <conditionalFormatting sqref="I2">
    <cfRule type="cellIs" dxfId="10" priority="7" operator="equal">
      <formula>0</formula>
    </cfRule>
    <cfRule type="cellIs" dxfId="9" priority="8" operator="equal">
      <formula>1</formula>
    </cfRule>
  </conditionalFormatting>
  <conditionalFormatting sqref="L2">
    <cfRule type="containsText" dxfId="8" priority="4" operator="containsText" text="Perdem">
      <formula>NOT(ISERROR(SEARCH("Perdem",L2)))</formula>
    </cfRule>
    <cfRule type="containsText" dxfId="7" priority="5" operator="containsText" text="Guanyem">
      <formula>NOT(ISERROR(SEARCH("Guanyem",L2)))</formula>
    </cfRule>
    <cfRule type="containsText" dxfId="6" priority="6" operator="containsText" text="Empat">
      <formula>NOT(ISERROR(SEARCH("Empat",L2)))</formula>
    </cfRule>
  </conditionalFormatting>
  <conditionalFormatting sqref="M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9C7F-BE26-46C4-AF78-BFBDE843F874}">
  <dimension ref="B1:J11"/>
  <sheetViews>
    <sheetView workbookViewId="0">
      <selection activeCell="I14" sqref="I14"/>
    </sheetView>
  </sheetViews>
  <sheetFormatPr defaultColWidth="8.81640625" defaultRowHeight="14.5" x14ac:dyDescent="0.35"/>
  <cols>
    <col min="8" max="8" width="7.81640625" customWidth="1"/>
    <col min="9" max="9" width="12.36328125" bestFit="1" customWidth="1"/>
    <col min="10" max="10" width="9.453125" bestFit="1" customWidth="1"/>
  </cols>
  <sheetData>
    <row r="1" spans="2:10" x14ac:dyDescent="0.35">
      <c r="B1" s="7"/>
    </row>
    <row r="2" spans="2:10" x14ac:dyDescent="0.35">
      <c r="B2" s="7"/>
    </row>
    <row r="8" spans="2:10" ht="15" thickBot="1" x14ac:dyDescent="0.4">
      <c r="H8" s="8"/>
      <c r="I8" s="14" t="s">
        <v>204</v>
      </c>
      <c r="J8" s="14" t="s">
        <v>205</v>
      </c>
    </row>
    <row r="9" spans="2:10" ht="15" thickTop="1" x14ac:dyDescent="0.35">
      <c r="H9" s="13" t="s">
        <v>202</v>
      </c>
      <c r="I9" s="11">
        <v>85</v>
      </c>
      <c r="J9" s="12">
        <f>I9/127</f>
        <v>0.6692913385826772</v>
      </c>
    </row>
    <row r="10" spans="2:10" x14ac:dyDescent="0.35">
      <c r="H10" s="13" t="s">
        <v>203</v>
      </c>
      <c r="I10" s="10">
        <v>113</v>
      </c>
      <c r="J10" s="9">
        <f>I10/127</f>
        <v>0.88976377952755903</v>
      </c>
    </row>
    <row r="11" spans="2:10" x14ac:dyDescent="0.35">
      <c r="H11" s="13" t="s">
        <v>207</v>
      </c>
      <c r="I11" s="10">
        <v>89</v>
      </c>
      <c r="J11" s="9">
        <f>I11/127</f>
        <v>0.70078740157480313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0F40-497A-498C-ABFF-A4B16B10C6BF}">
  <dimension ref="A1:G8"/>
  <sheetViews>
    <sheetView tabSelected="1" zoomScale="102" workbookViewId="0">
      <selection activeCell="J11" sqref="J11"/>
    </sheetView>
  </sheetViews>
  <sheetFormatPr defaultRowHeight="14.5" x14ac:dyDescent="0.35"/>
  <cols>
    <col min="1" max="1" width="13.08984375" bestFit="1" customWidth="1"/>
    <col min="2" max="2" width="10.54296875" bestFit="1" customWidth="1"/>
    <col min="3" max="3" width="17.453125" bestFit="1" customWidth="1"/>
    <col min="4" max="4" width="12" bestFit="1" customWidth="1"/>
    <col min="5" max="5" width="18.90625" bestFit="1" customWidth="1"/>
    <col min="6" max="7" width="20.1796875" bestFit="1" customWidth="1"/>
  </cols>
  <sheetData>
    <row r="1" spans="1:7" x14ac:dyDescent="0.35">
      <c r="A1" s="1" t="s">
        <v>243</v>
      </c>
      <c r="B1" s="1" t="s">
        <v>250</v>
      </c>
      <c r="C1" s="1" t="s">
        <v>251</v>
      </c>
      <c r="D1" s="1" t="s">
        <v>253</v>
      </c>
      <c r="E1" s="1" t="s">
        <v>254</v>
      </c>
      <c r="F1" s="1" t="s">
        <v>258</v>
      </c>
      <c r="G1" s="1" t="s">
        <v>255</v>
      </c>
    </row>
    <row r="2" spans="1:7" x14ac:dyDescent="0.35">
      <c r="A2" t="s">
        <v>244</v>
      </c>
      <c r="B2">
        <v>37</v>
      </c>
      <c r="C2">
        <v>42</v>
      </c>
      <c r="D2" s="7">
        <f>(B2/64)</f>
        <v>0.578125</v>
      </c>
      <c r="E2" s="7">
        <f>(C2/64)</f>
        <v>0.65625</v>
      </c>
      <c r="F2">
        <v>0.2387</v>
      </c>
      <c r="G2">
        <v>0.2387</v>
      </c>
    </row>
    <row r="3" spans="1:7" x14ac:dyDescent="0.35">
      <c r="A3" t="s">
        <v>245</v>
      </c>
      <c r="B3">
        <v>22</v>
      </c>
      <c r="C3">
        <v>23</v>
      </c>
      <c r="D3" s="7">
        <f>(B3/32)</f>
        <v>0.6875</v>
      </c>
      <c r="E3" s="7">
        <f>(C3/32)</f>
        <v>0.71875</v>
      </c>
      <c r="F3">
        <v>0.22245312499999995</v>
      </c>
      <c r="G3">
        <v>0.2185</v>
      </c>
    </row>
    <row r="4" spans="1:7" x14ac:dyDescent="0.35">
      <c r="A4" t="s">
        <v>246</v>
      </c>
      <c r="B4">
        <v>11</v>
      </c>
      <c r="C4">
        <v>12</v>
      </c>
      <c r="D4" s="7">
        <f>(B4/16)</f>
        <v>0.6875</v>
      </c>
      <c r="E4" s="7">
        <f>(C4/16)</f>
        <v>0.75</v>
      </c>
      <c r="F4">
        <v>0.18175624999999995</v>
      </c>
      <c r="G4">
        <v>0.1578</v>
      </c>
    </row>
    <row r="5" spans="1:7" x14ac:dyDescent="0.35">
      <c r="A5" t="s">
        <v>247</v>
      </c>
      <c r="B5">
        <v>8</v>
      </c>
      <c r="C5">
        <v>6</v>
      </c>
      <c r="D5" s="7">
        <f>(B5/8)</f>
        <v>1</v>
      </c>
      <c r="E5" s="7">
        <f>(C5/8)</f>
        <v>0.75</v>
      </c>
      <c r="F5">
        <v>9.1112499999999999E-2</v>
      </c>
      <c r="G5">
        <v>0.13400000000000001</v>
      </c>
    </row>
    <row r="6" spans="1:7" x14ac:dyDescent="0.35">
      <c r="A6" t="s">
        <v>248</v>
      </c>
      <c r="B6">
        <v>4</v>
      </c>
      <c r="C6">
        <v>4</v>
      </c>
      <c r="D6" s="7">
        <f>(B6/4)</f>
        <v>1</v>
      </c>
      <c r="E6" s="7">
        <f>(C6/4)</f>
        <v>1</v>
      </c>
      <c r="F6">
        <v>6.3750000000000001E-2</v>
      </c>
      <c r="G6">
        <v>3.8399999999999997E-2</v>
      </c>
    </row>
    <row r="7" spans="1:7" x14ac:dyDescent="0.35">
      <c r="A7" t="s">
        <v>252</v>
      </c>
      <c r="B7">
        <v>2</v>
      </c>
      <c r="C7">
        <v>2</v>
      </c>
      <c r="D7" s="7">
        <f>(B7/2)</f>
        <v>1</v>
      </c>
      <c r="E7" s="7">
        <f>(C7/2)</f>
        <v>1</v>
      </c>
      <c r="F7">
        <v>0.16820000000000002</v>
      </c>
      <c r="G7">
        <v>0.1293</v>
      </c>
    </row>
    <row r="8" spans="1:7" x14ac:dyDescent="0.35">
      <c r="A8" t="s">
        <v>249</v>
      </c>
      <c r="B8">
        <v>1</v>
      </c>
      <c r="C8">
        <v>0</v>
      </c>
      <c r="D8" s="7">
        <f>(B8/1)</f>
        <v>1</v>
      </c>
      <c r="E8" s="7">
        <f>(C8/1)</f>
        <v>0</v>
      </c>
      <c r="F8">
        <v>0.22089999999999999</v>
      </c>
      <c r="G8">
        <v>0.32269999999999999</v>
      </c>
    </row>
  </sheetData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E67090-2C26-49A9-924E-3FB5741E02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Ronda 1</vt:lpstr>
      <vt:lpstr>Ronda 2</vt:lpstr>
      <vt:lpstr>Ronda 3</vt:lpstr>
      <vt:lpstr>Ronda 4</vt:lpstr>
      <vt:lpstr>Quarts</vt:lpstr>
      <vt:lpstr>Semi</vt:lpstr>
      <vt:lpstr>Final</vt:lpstr>
      <vt:lpstr>Resultats</vt:lpstr>
      <vt:lpstr>Grafics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 Ruiz Kerclova</dc:creator>
  <cp:lastModifiedBy>Iker  Ruiz Kerclova</cp:lastModifiedBy>
  <dcterms:created xsi:type="dcterms:W3CDTF">2025-11-25T16:15:09Z</dcterms:created>
  <dcterms:modified xsi:type="dcterms:W3CDTF">2026-01-07T21:34:25Z</dcterms:modified>
</cp:coreProperties>
</file>